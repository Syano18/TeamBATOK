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alinga-population-dashboard\"/>
    </mc:Choice>
  </mc:AlternateContent>
  <xr:revisionPtr revIDLastSave="0" documentId="13_ncr:1_{30F12EA5-2C6A-415E-A98F-9EB050704153}" xr6:coauthVersionLast="47" xr6:coauthVersionMax="47" xr10:uidLastSave="{00000000-0000-0000-0000-000000000000}"/>
  <bookViews>
    <workbookView xWindow="28680" yWindow="-120" windowWidth="29040" windowHeight="15720" activeTab="2" xr2:uid="{E929EA46-1878-4F46-80D6-AEC4BC5C7163}"/>
  </bookViews>
  <sheets>
    <sheet name="2010" sheetId="1" r:id="rId1"/>
    <sheet name="2015" sheetId="3" r:id="rId2"/>
    <sheet name="2020" sheetId="5" r:id="rId3"/>
    <sheet name="202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5" l="1"/>
  <c r="AH4" i="5"/>
  <c r="AG4" i="5"/>
  <c r="AE4" i="5"/>
  <c r="AD4" i="5"/>
  <c r="AB4" i="5"/>
  <c r="AA4" i="5"/>
  <c r="Y4" i="5"/>
  <c r="X4" i="5"/>
  <c r="V4" i="5"/>
  <c r="U4" i="5"/>
  <c r="AN143" i="3" l="1"/>
  <c r="AL143" i="3"/>
  <c r="AH143" i="3"/>
  <c r="AF143" i="3"/>
  <c r="AD143" i="3"/>
  <c r="AC143" i="3"/>
  <c r="AY83" i="3"/>
  <c r="AX83" i="3"/>
  <c r="AW83" i="3"/>
  <c r="AU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AD68" i="3"/>
  <c r="AC68" i="3"/>
  <c r="AA68" i="3"/>
  <c r="Z68" i="3"/>
  <c r="X68" i="3"/>
  <c r="W68" i="3"/>
  <c r="U68" i="3"/>
  <c r="T68" i="3"/>
  <c r="R68" i="3"/>
  <c r="Q68" i="3"/>
  <c r="AZ44" i="3"/>
  <c r="AX44" i="3"/>
  <c r="AN44" i="3"/>
  <c r="AL44" i="3"/>
  <c r="AJ44" i="3"/>
  <c r="AI44" i="3"/>
  <c r="AG44" i="3"/>
  <c r="AF44" i="3"/>
  <c r="AD44" i="3"/>
  <c r="AC44" i="3"/>
  <c r="AA44" i="3"/>
  <c r="Z44" i="3"/>
  <c r="V44" i="3"/>
  <c r="T44" i="3"/>
  <c r="R44" i="3"/>
  <c r="Q44" i="3"/>
  <c r="F44" i="3"/>
  <c r="E44" i="3"/>
  <c r="AS29" i="3"/>
  <c r="AR29" i="3"/>
  <c r="AA29" i="3"/>
  <c r="Z29" i="3"/>
  <c r="T29" i="3"/>
  <c r="P29" i="3"/>
  <c r="N29" i="3"/>
  <c r="AQ4" i="3"/>
  <c r="AO4" i="3"/>
  <c r="AJ4" i="3"/>
  <c r="AI4" i="3"/>
  <c r="AH4" i="3"/>
  <c r="AG4" i="3"/>
  <c r="AF4" i="3"/>
  <c r="AE4" i="3"/>
  <c r="AD4" i="3"/>
  <c r="AC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I4" i="3"/>
  <c r="H4" i="3"/>
  <c r="G4" i="3"/>
  <c r="E4" i="3"/>
  <c r="AD126" i="1"/>
  <c r="AC126" i="1"/>
  <c r="AA126" i="1"/>
  <c r="Z126" i="1"/>
  <c r="X126" i="1"/>
  <c r="W126" i="1"/>
  <c r="AZ83" i="1"/>
  <c r="AX83" i="1"/>
  <c r="AT83" i="1"/>
  <c r="AR83" i="1"/>
  <c r="AP83" i="1"/>
  <c r="AO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P83" i="1"/>
  <c r="O83" i="1"/>
  <c r="Q83" i="1"/>
  <c r="N83" i="1"/>
  <c r="M83" i="1"/>
  <c r="L83" i="1"/>
  <c r="K83" i="1"/>
  <c r="J83" i="1"/>
  <c r="H83" i="1"/>
  <c r="AZ44" i="1"/>
  <c r="AX44" i="1"/>
  <c r="AT44" i="1"/>
  <c r="AS44" i="1"/>
  <c r="AR44" i="1"/>
  <c r="AN44" i="1"/>
  <c r="AL44" i="1"/>
  <c r="AK44" i="1"/>
  <c r="AI44" i="1"/>
  <c r="AG44" i="1"/>
  <c r="AF44" i="1"/>
  <c r="AD44" i="1"/>
  <c r="AC44" i="1"/>
  <c r="AA44" i="1"/>
  <c r="Z44" i="1"/>
  <c r="Y44" i="1"/>
  <c r="X44" i="1"/>
  <c r="W44" i="1"/>
  <c r="U44" i="1"/>
  <c r="T44" i="1"/>
  <c r="R44" i="1"/>
  <c r="Q44" i="1"/>
  <c r="O44" i="1"/>
  <c r="N44" i="1"/>
  <c r="M44" i="1"/>
  <c r="K44" i="1"/>
  <c r="AM4" i="1"/>
  <c r="AL4" i="1"/>
  <c r="AJ4" i="1"/>
  <c r="AI4" i="1"/>
  <c r="AG4" i="1"/>
  <c r="AF4" i="1"/>
  <c r="AD4" i="1"/>
  <c r="AC4" i="1"/>
  <c r="AA4" i="1"/>
  <c r="Z4" i="1"/>
</calcChain>
</file>

<file path=xl/sharedStrings.xml><?xml version="1.0" encoding="utf-8"?>
<sst xmlns="http://schemas.openxmlformats.org/spreadsheetml/2006/main" count="862" uniqueCount="503">
  <si>
    <t xml:space="preserve">        KALINGA</t>
  </si>
  <si>
    <t xml:space="preserve">            KALINGA</t>
  </si>
  <si>
    <t xml:space="preserve">                BALBALAN</t>
  </si>
  <si>
    <t xml:space="preserve">                    Ababa-an</t>
  </si>
  <si>
    <t xml:space="preserve">                    Balantoy</t>
  </si>
  <si>
    <t xml:space="preserve">                    Balbalan Proper</t>
  </si>
  <si>
    <t xml:space="preserve">                    Balbalasang</t>
  </si>
  <si>
    <t xml:space="preserve">                    Buaya</t>
  </si>
  <si>
    <t xml:space="preserve">                    Dao-angan</t>
  </si>
  <si>
    <t xml:space="preserve">                    Gawa-an</t>
  </si>
  <si>
    <t xml:space="preserve">                    Mabaca</t>
  </si>
  <si>
    <t xml:space="preserve">                    Maling (Kabugao)</t>
  </si>
  <si>
    <t xml:space="preserve">                    Pantikian</t>
  </si>
  <si>
    <t xml:space="preserve">                    Poswoy</t>
  </si>
  <si>
    <t xml:space="preserve">                    Poblacion (Salegseg)</t>
  </si>
  <si>
    <t xml:space="preserve">                    Talalang</t>
  </si>
  <si>
    <t xml:space="preserve">                    Tawang</t>
  </si>
  <si>
    <t xml:space="preserve">                LUBUAGAN</t>
  </si>
  <si>
    <t xml:space="preserve">                    Dangoy</t>
  </si>
  <si>
    <t xml:space="preserve">                    Mabilong</t>
  </si>
  <si>
    <t xml:space="preserve">                    Mabongtot</t>
  </si>
  <si>
    <t xml:space="preserve">                    Poblacion</t>
  </si>
  <si>
    <t xml:space="preserve">                    Tanglag</t>
  </si>
  <si>
    <t xml:space="preserve">                    Lower Uma</t>
  </si>
  <si>
    <t xml:space="preserve">                    Upper Uma</t>
  </si>
  <si>
    <t xml:space="preserve">                    Antonio Canao</t>
  </si>
  <si>
    <t xml:space="preserve">                    Uma del Norte (Western Luna Uma)</t>
  </si>
  <si>
    <t xml:space="preserve">                PASIL</t>
  </si>
  <si>
    <t xml:space="preserve">                    Ableg</t>
  </si>
  <si>
    <t xml:space="preserve">                    Balatoc</t>
  </si>
  <si>
    <t xml:space="preserve">                    Balinciagao Norte</t>
  </si>
  <si>
    <t xml:space="preserve">                    Cagaluan</t>
  </si>
  <si>
    <t xml:space="preserve">                    Colayo</t>
  </si>
  <si>
    <t xml:space="preserve">                    Dalupa</t>
  </si>
  <si>
    <t xml:space="preserve">                    Dangtalan</t>
  </si>
  <si>
    <t xml:space="preserve">                    Galdang (Casaloan)</t>
  </si>
  <si>
    <t xml:space="preserve">                    Guina-ang (Pob.)</t>
  </si>
  <si>
    <t xml:space="preserve">                    Magsilay</t>
  </si>
  <si>
    <t xml:space="preserve">                    Malucsad</t>
  </si>
  <si>
    <t xml:space="preserve">                    Pugong</t>
  </si>
  <si>
    <t xml:space="preserve">                    Balenciagao Sur</t>
  </si>
  <si>
    <t xml:space="preserve">                    Bagtayan</t>
  </si>
  <si>
    <t xml:space="preserve">                PINUKPUK</t>
  </si>
  <si>
    <t xml:space="preserve">                    Aciga</t>
  </si>
  <si>
    <t xml:space="preserve">                    Allaguia</t>
  </si>
  <si>
    <t xml:space="preserve">                    Ammacian</t>
  </si>
  <si>
    <t xml:space="preserve">                    Apatan</t>
  </si>
  <si>
    <t xml:space="preserve">                    Ba-ay</t>
  </si>
  <si>
    <t xml:space="preserve">                    Ballayangon</t>
  </si>
  <si>
    <t xml:space="preserve">                    Bayao</t>
  </si>
  <si>
    <t xml:space="preserve">                    Wagud</t>
  </si>
  <si>
    <t xml:space="preserve">                    Camalog</t>
  </si>
  <si>
    <t xml:space="preserve">                    Katabbogan</t>
  </si>
  <si>
    <t xml:space="preserve">                    Dugpa</t>
  </si>
  <si>
    <t xml:space="preserve">                    Cawagayan</t>
  </si>
  <si>
    <t xml:space="preserve">                    Asibanglan</t>
  </si>
  <si>
    <t xml:space="preserve">                    Limos</t>
  </si>
  <si>
    <t xml:space="preserve">                    Magaogao</t>
  </si>
  <si>
    <t xml:space="preserve">                    Malagnat</t>
  </si>
  <si>
    <t xml:space="preserve">                    Mapaco</t>
  </si>
  <si>
    <t xml:space="preserve">                    Pakawit</t>
  </si>
  <si>
    <t xml:space="preserve">                    Pinukpuk Junction</t>
  </si>
  <si>
    <t xml:space="preserve">                    Socbot</t>
  </si>
  <si>
    <t xml:space="preserve">                    Taga (Pob.)</t>
  </si>
  <si>
    <t xml:space="preserve">                    Pinococ</t>
  </si>
  <si>
    <t xml:space="preserve">                    Taggay</t>
  </si>
  <si>
    <t xml:space="preserve">                RIZAL (LIWAN)</t>
  </si>
  <si>
    <t xml:space="preserve">                    Babalag East (Pob.)</t>
  </si>
  <si>
    <t xml:space="preserve">                    Calaocan</t>
  </si>
  <si>
    <t xml:space="preserve">                    Kinama</t>
  </si>
  <si>
    <t xml:space="preserve">                    Liwan East</t>
  </si>
  <si>
    <t xml:space="preserve">                    Liwan West</t>
  </si>
  <si>
    <t xml:space="preserve">                    Macutay</t>
  </si>
  <si>
    <t xml:space="preserve">                    San Pascual</t>
  </si>
  <si>
    <t xml:space="preserve">                    San Quintin</t>
  </si>
  <si>
    <t xml:space="preserve">                    Santor</t>
  </si>
  <si>
    <t xml:space="preserve">                    Babalag West (Pob.)</t>
  </si>
  <si>
    <t xml:space="preserve">                    Bulbol</t>
  </si>
  <si>
    <t xml:space="preserve">                    Romualdez</t>
  </si>
  <si>
    <t xml:space="preserve">                    San Francisco</t>
  </si>
  <si>
    <t xml:space="preserve">                    San Pedro</t>
  </si>
  <si>
    <t xml:space="preserve">                CITY OF TABUK(Capital)</t>
  </si>
  <si>
    <t xml:space="preserve">                    Agbannawag</t>
  </si>
  <si>
    <t xml:space="preserve">                    Amlao</t>
  </si>
  <si>
    <t xml:space="preserve">                    Appas</t>
  </si>
  <si>
    <t xml:space="preserve">                    Bagumbayan</t>
  </si>
  <si>
    <t xml:space="preserve">                    Balawag</t>
  </si>
  <si>
    <t xml:space="preserve">                    Balong</t>
  </si>
  <si>
    <t xml:space="preserve">                    Bantay</t>
  </si>
  <si>
    <t xml:space="preserve">                    Bulanao</t>
  </si>
  <si>
    <t xml:space="preserve">                    Cabaritan</t>
  </si>
  <si>
    <t xml:space="preserve">                    Cabaruan</t>
  </si>
  <si>
    <t xml:space="preserve">                    Calaccad</t>
  </si>
  <si>
    <t xml:space="preserve">                    Calanan</t>
  </si>
  <si>
    <t xml:space="preserve">                    Dilag</t>
  </si>
  <si>
    <t xml:space="preserve">                    Dupag</t>
  </si>
  <si>
    <t xml:space="preserve">                    Gobgob</t>
  </si>
  <si>
    <t xml:space="preserve">                    Guilayon</t>
  </si>
  <si>
    <t xml:space="preserve">                    Lanna</t>
  </si>
  <si>
    <t xml:space="preserve">                    Laya East</t>
  </si>
  <si>
    <t xml:space="preserve">                    Laya West</t>
  </si>
  <si>
    <t xml:space="preserve">                    Lucog</t>
  </si>
  <si>
    <t xml:space="preserve">                    Magnao</t>
  </si>
  <si>
    <t xml:space="preserve">                    Magsaysay</t>
  </si>
  <si>
    <t xml:space="preserve">                    Malalao</t>
  </si>
  <si>
    <t xml:space="preserve">                    Masablang</t>
  </si>
  <si>
    <t xml:space="preserve">                    Nambaran</t>
  </si>
  <si>
    <t xml:space="preserve">                    Nambucayan</t>
  </si>
  <si>
    <t xml:space="preserve">                    Naneng</t>
  </si>
  <si>
    <t xml:space="preserve">                    Dagupan Centro (Pob.)</t>
  </si>
  <si>
    <t xml:space="preserve">                    San Juan</t>
  </si>
  <si>
    <t xml:space="preserve">                    Suyang</t>
  </si>
  <si>
    <t xml:space="preserve">                    Tuga</t>
  </si>
  <si>
    <t xml:space="preserve">                    Bado Dangwa</t>
  </si>
  <si>
    <t xml:space="preserve">                    Bulo</t>
  </si>
  <si>
    <t xml:space="preserve">                    Casigayan</t>
  </si>
  <si>
    <t xml:space="preserve">                    Cudal</t>
  </si>
  <si>
    <t xml:space="preserve">                    Dagupan Weste</t>
  </si>
  <si>
    <t xml:space="preserve">                    Lacnog</t>
  </si>
  <si>
    <t xml:space="preserve">                    Malin-awa</t>
  </si>
  <si>
    <t xml:space="preserve">                    New Tanglag</t>
  </si>
  <si>
    <t xml:space="preserve">                    San Julian</t>
  </si>
  <si>
    <t xml:space="preserve">                    Bulanao Norte</t>
  </si>
  <si>
    <t xml:space="preserve">                    Ipil</t>
  </si>
  <si>
    <t xml:space="preserve">                TANUDAN</t>
  </si>
  <si>
    <t xml:space="preserve">                    Anggacan</t>
  </si>
  <si>
    <t xml:space="preserve">                    Babbanoy</t>
  </si>
  <si>
    <t xml:space="preserve">                    Dacalan</t>
  </si>
  <si>
    <t xml:space="preserve">                    Gaang</t>
  </si>
  <si>
    <t xml:space="preserve">                    Lower Mangali</t>
  </si>
  <si>
    <t xml:space="preserve">                    Lower Taloctoc</t>
  </si>
  <si>
    <t xml:space="preserve">                    Lower Lubo</t>
  </si>
  <si>
    <t xml:space="preserve">                    Upper Lubo</t>
  </si>
  <si>
    <t xml:space="preserve">                    Pangol</t>
  </si>
  <si>
    <t xml:space="preserve">                    Upper Taloctoc</t>
  </si>
  <si>
    <t xml:space="preserve">                    Anggacan Sur</t>
  </si>
  <si>
    <t xml:space="preserve">                    Dupligan</t>
  </si>
  <si>
    <t xml:space="preserve">                    Lay-asan</t>
  </si>
  <si>
    <t xml:space="preserve">                    Mangali Centro</t>
  </si>
  <si>
    <t xml:space="preserve">                TINGLAYAN</t>
  </si>
  <si>
    <t xml:space="preserve">                    Ambato Legleg</t>
  </si>
  <si>
    <t xml:space="preserve">                    Bangad Centro</t>
  </si>
  <si>
    <t xml:space="preserve">                    Basao</t>
  </si>
  <si>
    <t xml:space="preserve">                    Belong Manubal</t>
  </si>
  <si>
    <t xml:space="preserve">                    Butbut (Butbut-Ngibat)</t>
  </si>
  <si>
    <t xml:space="preserve">                    Bugnay</t>
  </si>
  <si>
    <t xml:space="preserve">                    Buscalan (Buscalan-Locong)</t>
  </si>
  <si>
    <t xml:space="preserve">                    Dananao</t>
  </si>
  <si>
    <t xml:space="preserve">                    Loccong</t>
  </si>
  <si>
    <t xml:space="preserve">                    Luplupa</t>
  </si>
  <si>
    <t xml:space="preserve">                    Mallango</t>
  </si>
  <si>
    <t xml:space="preserve">                    Sumadel 1</t>
  </si>
  <si>
    <t xml:space="preserve">                    Sumadel 2</t>
  </si>
  <si>
    <t xml:space="preserve">                    Tulgao East</t>
  </si>
  <si>
    <t xml:space="preserve">                    Tulgao West</t>
  </si>
  <si>
    <t xml:space="preserve">                    Upper Bangad</t>
  </si>
  <si>
    <t xml:space="preserve">                    Ngibat</t>
  </si>
  <si>
    <t xml:space="preserve">                    Old Tinglayan</t>
  </si>
  <si>
    <t xml:space="preserve">                    Lower Bangad</t>
  </si>
  <si>
    <t>No.of HHs</t>
  </si>
  <si>
    <t>HH Population</t>
  </si>
  <si>
    <t>Total Population</t>
  </si>
  <si>
    <t>Male</t>
  </si>
  <si>
    <t>Female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</si>
  <si>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</si>
  <si>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</si>
  <si>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</si>
  <si>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</si>
  <si>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</si>
  <si>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</si>
  <si>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</si>
  <si>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</si>
  <si>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</si>
  <si>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</si>
  <si>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</si>
  <si>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</si>
  <si>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</si>
  <si>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</si>
  <si>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above</t>
  </si>
  <si>
    <t xml:space="preserve">                CITY OF TABUK (Capital)</t>
  </si>
  <si>
    <t>Household Population</t>
  </si>
  <si>
    <t xml:space="preserve">            BALBALAN</t>
  </si>
  <si>
    <t xml:space="preserve">                Ababa-an</t>
  </si>
  <si>
    <t xml:space="preserve">                Balantoy</t>
  </si>
  <si>
    <t xml:space="preserve">                Balbalan Proper</t>
  </si>
  <si>
    <t xml:space="preserve">                Balbalasang</t>
  </si>
  <si>
    <t xml:space="preserve">                Buaya</t>
  </si>
  <si>
    <t xml:space="preserve">                Dao-angan</t>
  </si>
  <si>
    <t xml:space="preserve">                Gawa-an</t>
  </si>
  <si>
    <t xml:space="preserve">                Mabaca</t>
  </si>
  <si>
    <t xml:space="preserve">                Maling (Kabugao)</t>
  </si>
  <si>
    <t xml:space="preserve">                Pantikian</t>
  </si>
  <si>
    <t xml:space="preserve">                Poswoy</t>
  </si>
  <si>
    <t xml:space="preserve">                Poblacion (Salegseg)</t>
  </si>
  <si>
    <t xml:space="preserve">                Talalang</t>
  </si>
  <si>
    <t xml:space="preserve">                Tawang</t>
  </si>
  <si>
    <t xml:space="preserve">            LUBUAGAN</t>
  </si>
  <si>
    <t xml:space="preserve">                Dangoy</t>
  </si>
  <si>
    <t xml:space="preserve">                Mabilong</t>
  </si>
  <si>
    <t xml:space="preserve">                Mabongtot</t>
  </si>
  <si>
    <t xml:space="preserve">                Poblacion</t>
  </si>
  <si>
    <t xml:space="preserve">                Tanglag</t>
  </si>
  <si>
    <t xml:space="preserve">                Lower Uma</t>
  </si>
  <si>
    <t xml:space="preserve">                Upper Uma</t>
  </si>
  <si>
    <t xml:space="preserve">                Antonio Canao</t>
  </si>
  <si>
    <t xml:space="preserve">                Uma del Norte (Western Luna Uma)</t>
  </si>
  <si>
    <t xml:space="preserve">            PASIL</t>
  </si>
  <si>
    <t xml:space="preserve">                Ableg</t>
  </si>
  <si>
    <t xml:space="preserve">                Balatoc</t>
  </si>
  <si>
    <t xml:space="preserve">                Balinciagao Norte</t>
  </si>
  <si>
    <t xml:space="preserve">                Cagaluan</t>
  </si>
  <si>
    <t xml:space="preserve">                Colayo</t>
  </si>
  <si>
    <t xml:space="preserve">                Dalupa</t>
  </si>
  <si>
    <t xml:space="preserve">                Dangtalan</t>
  </si>
  <si>
    <t xml:space="preserve">                Galdang (Casaloan)</t>
  </si>
  <si>
    <t xml:space="preserve">                Guina-ang (Pob.)</t>
  </si>
  <si>
    <t xml:space="preserve">                Magsilay</t>
  </si>
  <si>
    <t xml:space="preserve">                Malucsad</t>
  </si>
  <si>
    <t xml:space="preserve">                Pugong</t>
  </si>
  <si>
    <t xml:space="preserve">                Balenciagao Sur</t>
  </si>
  <si>
    <t xml:space="preserve">                Bagtayan</t>
  </si>
  <si>
    <t xml:space="preserve">            PINUKPUK</t>
  </si>
  <si>
    <t xml:space="preserve">                Aciga</t>
  </si>
  <si>
    <t xml:space="preserve">                Allaguia</t>
  </si>
  <si>
    <t xml:space="preserve">                Ammacian</t>
  </si>
  <si>
    <t xml:space="preserve">                Apatan</t>
  </si>
  <si>
    <t xml:space="preserve">                Ba-ay</t>
  </si>
  <si>
    <t xml:space="preserve">                Ballayangon</t>
  </si>
  <si>
    <t xml:space="preserve">                Bayao</t>
  </si>
  <si>
    <t xml:space="preserve">                Wagud</t>
  </si>
  <si>
    <t xml:space="preserve">                Camalog</t>
  </si>
  <si>
    <t xml:space="preserve">                Katabbogan</t>
  </si>
  <si>
    <t xml:space="preserve">                Dugpa</t>
  </si>
  <si>
    <t xml:space="preserve">                Cawagayan</t>
  </si>
  <si>
    <t xml:space="preserve">                Asibanglan</t>
  </si>
  <si>
    <t xml:space="preserve">                Limos</t>
  </si>
  <si>
    <t xml:space="preserve">                Magaogao</t>
  </si>
  <si>
    <t xml:space="preserve">                Malagnat</t>
  </si>
  <si>
    <t xml:space="preserve">                Mapaco</t>
  </si>
  <si>
    <t xml:space="preserve">                Pakawit</t>
  </si>
  <si>
    <t xml:space="preserve">                Pinukpuk Junction</t>
  </si>
  <si>
    <t xml:space="preserve">                Socbot</t>
  </si>
  <si>
    <t xml:space="preserve">                Taga (Pob.)</t>
  </si>
  <si>
    <t xml:space="preserve">                Pinococ</t>
  </si>
  <si>
    <t xml:space="preserve">                Taggay</t>
  </si>
  <si>
    <t xml:space="preserve">            RIZAL (LIWAN)</t>
  </si>
  <si>
    <t xml:space="preserve">                Babalag East (Pob.)</t>
  </si>
  <si>
    <t xml:space="preserve">                Calaocan</t>
  </si>
  <si>
    <t xml:space="preserve">                Kinama</t>
  </si>
  <si>
    <t xml:space="preserve">                Liwan East</t>
  </si>
  <si>
    <t xml:space="preserve">                Liwan West</t>
  </si>
  <si>
    <t xml:space="preserve">                Macutay</t>
  </si>
  <si>
    <t xml:space="preserve">                San Pascual</t>
  </si>
  <si>
    <t xml:space="preserve">                San Quintin</t>
  </si>
  <si>
    <t xml:space="preserve">                Santor</t>
  </si>
  <si>
    <t xml:space="preserve">                Babalag West (Pob.)</t>
  </si>
  <si>
    <t xml:space="preserve">                Bulbol</t>
  </si>
  <si>
    <t xml:space="preserve">                Romualdez</t>
  </si>
  <si>
    <t xml:space="preserve">                San Francisco</t>
  </si>
  <si>
    <t xml:space="preserve">                San Pedro</t>
  </si>
  <si>
    <t xml:space="preserve">            CITY OF TABUK (CAPITAL)</t>
  </si>
  <si>
    <t xml:space="preserve">                Agbannawag</t>
  </si>
  <si>
    <t xml:space="preserve">                Amlao</t>
  </si>
  <si>
    <t xml:space="preserve">                Appas</t>
  </si>
  <si>
    <t xml:space="preserve">                Bagumbayan</t>
  </si>
  <si>
    <t xml:space="preserve">                Balawag</t>
  </si>
  <si>
    <t xml:space="preserve">                Balong</t>
  </si>
  <si>
    <t xml:space="preserve">                Bantay</t>
  </si>
  <si>
    <t xml:space="preserve">                Bulanao</t>
  </si>
  <si>
    <t xml:space="preserve">                Cabaritan</t>
  </si>
  <si>
    <t xml:space="preserve">                Cabaruan</t>
  </si>
  <si>
    <t xml:space="preserve">                Calaccad</t>
  </si>
  <si>
    <t xml:space="preserve">                Calanan</t>
  </si>
  <si>
    <t xml:space="preserve">                Dilag</t>
  </si>
  <si>
    <t xml:space="preserve">                Dupag</t>
  </si>
  <si>
    <t xml:space="preserve">                Gobgob</t>
  </si>
  <si>
    <t xml:space="preserve">                Guilayon</t>
  </si>
  <si>
    <t xml:space="preserve">                Lanna</t>
  </si>
  <si>
    <t xml:space="preserve">                Laya East</t>
  </si>
  <si>
    <t xml:space="preserve">                Laya West</t>
  </si>
  <si>
    <t xml:space="preserve">                Lucog</t>
  </si>
  <si>
    <t xml:space="preserve">                Magnao</t>
  </si>
  <si>
    <t xml:space="preserve">                Magsaysay</t>
  </si>
  <si>
    <t xml:space="preserve">                Malalao</t>
  </si>
  <si>
    <t xml:space="preserve">                Masablang</t>
  </si>
  <si>
    <t xml:space="preserve">                Nambaran</t>
  </si>
  <si>
    <t xml:space="preserve">                Nambucayan</t>
  </si>
  <si>
    <t xml:space="preserve">                Naneng</t>
  </si>
  <si>
    <t xml:space="preserve">                Dagupan Centro (Pob.)</t>
  </si>
  <si>
    <t xml:space="preserve">                San Juan</t>
  </si>
  <si>
    <t xml:space="preserve">                Suyang</t>
  </si>
  <si>
    <t xml:space="preserve">                Tuga</t>
  </si>
  <si>
    <t xml:space="preserve">                Bado Dangwa</t>
  </si>
  <si>
    <t xml:space="preserve">                Bulo</t>
  </si>
  <si>
    <t xml:space="preserve">                Casigayan</t>
  </si>
  <si>
    <t xml:space="preserve">                Cudal</t>
  </si>
  <si>
    <t xml:space="preserve">                Dagupan Weste</t>
  </si>
  <si>
    <t xml:space="preserve">                Lacnog</t>
  </si>
  <si>
    <t xml:space="preserve">                Malin-awa</t>
  </si>
  <si>
    <t xml:space="preserve">                New Tanglag</t>
  </si>
  <si>
    <t xml:space="preserve">                San Julian</t>
  </si>
  <si>
    <t xml:space="preserve">                Bulanao Norte</t>
  </si>
  <si>
    <t xml:space="preserve">                Ipil</t>
  </si>
  <si>
    <t xml:space="preserve">                Lacnog West</t>
  </si>
  <si>
    <t xml:space="preserve">            TANUDAN</t>
  </si>
  <si>
    <t xml:space="preserve">                Anggacan</t>
  </si>
  <si>
    <t xml:space="preserve">                Babbanoy</t>
  </si>
  <si>
    <t xml:space="preserve">                Dacalan</t>
  </si>
  <si>
    <t xml:space="preserve">                Gaang</t>
  </si>
  <si>
    <t xml:space="preserve">                Lower Mangali</t>
  </si>
  <si>
    <t xml:space="preserve">                Lower Taloctoc</t>
  </si>
  <si>
    <t xml:space="preserve">                Lower Lubo</t>
  </si>
  <si>
    <t xml:space="preserve">                Upper Lubo</t>
  </si>
  <si>
    <t xml:space="preserve">                Pangol</t>
  </si>
  <si>
    <t xml:space="preserve">                Upper Taloctoc</t>
  </si>
  <si>
    <t xml:space="preserve">                Anggacan Sur</t>
  </si>
  <si>
    <t xml:space="preserve">                Dupligan</t>
  </si>
  <si>
    <t xml:space="preserve">                Lay-asan</t>
  </si>
  <si>
    <t xml:space="preserve">                Mangali Centro</t>
  </si>
  <si>
    <t xml:space="preserve">            TINGLAYAN</t>
  </si>
  <si>
    <t xml:space="preserve">                Ambato Legleg</t>
  </si>
  <si>
    <t xml:space="preserve">                Bangad Centro</t>
  </si>
  <si>
    <t xml:space="preserve">                Basao</t>
  </si>
  <si>
    <t xml:space="preserve">                Belong Manubal</t>
  </si>
  <si>
    <t xml:space="preserve">                Butbut (Butbut-Ngibat)</t>
  </si>
  <si>
    <t xml:space="preserve">                Bugnay</t>
  </si>
  <si>
    <t xml:space="preserve">                Buscalan (Buscalan-Locong)</t>
  </si>
  <si>
    <t xml:space="preserve">                Dananao</t>
  </si>
  <si>
    <t xml:space="preserve">                Loccong</t>
  </si>
  <si>
    <t xml:space="preserve">                Luplupa</t>
  </si>
  <si>
    <t xml:space="preserve">                Mallango</t>
  </si>
  <si>
    <t xml:space="preserve">                Sumadel 1</t>
  </si>
  <si>
    <t xml:space="preserve">                Sumadel 2</t>
  </si>
  <si>
    <t xml:space="preserve">                Tulgao East</t>
  </si>
  <si>
    <t xml:space="preserve">                Tulgao West</t>
  </si>
  <si>
    <t xml:space="preserve">                Upper Bangad</t>
  </si>
  <si>
    <t xml:space="preserve">                Ngibat</t>
  </si>
  <si>
    <t xml:space="preserve">                Old Tinglayan</t>
  </si>
  <si>
    <t xml:space="preserve">                Lower Bangad</t>
  </si>
  <si>
    <t>Number of Households</t>
  </si>
  <si>
    <t>KALINGA</t>
  </si>
  <si>
    <t>BALBALAN</t>
  </si>
  <si>
    <t>Ababa-an</t>
  </si>
  <si>
    <t>Balantoy</t>
  </si>
  <si>
    <t>Balbalan Proper</t>
  </si>
  <si>
    <t>Balbalasang</t>
  </si>
  <si>
    <t>Buaya</t>
  </si>
  <si>
    <t>Dao-angan</t>
  </si>
  <si>
    <t>Gawa-an</t>
  </si>
  <si>
    <t>Mabaca</t>
  </si>
  <si>
    <t>Maling</t>
  </si>
  <si>
    <t>Pantikian</t>
  </si>
  <si>
    <t>Poswoy</t>
  </si>
  <si>
    <t>Poblacion</t>
  </si>
  <si>
    <t>Talalang</t>
  </si>
  <si>
    <t>Tawang</t>
  </si>
  <si>
    <t>LUBUAGAN</t>
  </si>
  <si>
    <t>Dangoy</t>
  </si>
  <si>
    <t>Mabilong</t>
  </si>
  <si>
    <t>Mabongtot</t>
  </si>
  <si>
    <t>Tanglag</t>
  </si>
  <si>
    <t>Lower Uma</t>
  </si>
  <si>
    <t>Upper Uma</t>
  </si>
  <si>
    <t>Antonio Canao</t>
  </si>
  <si>
    <t>Uma del Norte</t>
  </si>
  <si>
    <t>PASIL</t>
  </si>
  <si>
    <t>Ableg</t>
  </si>
  <si>
    <t>Balatoc</t>
  </si>
  <si>
    <t>Balinciagao Norte</t>
  </si>
  <si>
    <t>Cagaluan</t>
  </si>
  <si>
    <t>Colayo</t>
  </si>
  <si>
    <t>Dalupa</t>
  </si>
  <si>
    <t>Dangtalan</t>
  </si>
  <si>
    <t>Galdang</t>
  </si>
  <si>
    <t xml:space="preserve">Guina-ang </t>
  </si>
  <si>
    <t>Magsilay</t>
  </si>
  <si>
    <t>Malucsad</t>
  </si>
  <si>
    <t>Pugong</t>
  </si>
  <si>
    <t>Balenciagao Sur</t>
  </si>
  <si>
    <t>Bagtayan</t>
  </si>
  <si>
    <t>PINUKPUK</t>
  </si>
  <si>
    <t>Aciga</t>
  </si>
  <si>
    <t>Allaguia</t>
  </si>
  <si>
    <t>Ammacian</t>
  </si>
  <si>
    <t>Apatan</t>
  </si>
  <si>
    <t>Ba-ay</t>
  </si>
  <si>
    <t>Ballayangon</t>
  </si>
  <si>
    <t>Bayao</t>
  </si>
  <si>
    <t>Wagud</t>
  </si>
  <si>
    <t>Camalog</t>
  </si>
  <si>
    <t>Katabbogan</t>
  </si>
  <si>
    <t>Dugpa</t>
  </si>
  <si>
    <t>Cawagayan</t>
  </si>
  <si>
    <t>Asibanglan</t>
  </si>
  <si>
    <t>Limos</t>
  </si>
  <si>
    <t>Magaogao</t>
  </si>
  <si>
    <t>Malagnat</t>
  </si>
  <si>
    <t>Mapaco</t>
  </si>
  <si>
    <t>Pakawit</t>
  </si>
  <si>
    <t>Pinukpuk Junction</t>
  </si>
  <si>
    <t>Socbot</t>
  </si>
  <si>
    <t xml:space="preserve">Taga </t>
  </si>
  <si>
    <t>Pinococ</t>
  </si>
  <si>
    <t>Taggay</t>
  </si>
  <si>
    <t>RIZAL</t>
  </si>
  <si>
    <t xml:space="preserve">Babalag East </t>
  </si>
  <si>
    <t>Calaocan</t>
  </si>
  <si>
    <t>Kinama</t>
  </si>
  <si>
    <t>Liwan East</t>
  </si>
  <si>
    <t>Liwan West</t>
  </si>
  <si>
    <t>Macutay</t>
  </si>
  <si>
    <t>San Pascual</t>
  </si>
  <si>
    <t>San Quintin</t>
  </si>
  <si>
    <t>Santor</t>
  </si>
  <si>
    <t xml:space="preserve">Babalag West </t>
  </si>
  <si>
    <t>Bulbol</t>
  </si>
  <si>
    <t>Romualdez</t>
  </si>
  <si>
    <t>San Francisco</t>
  </si>
  <si>
    <t>San Pedro</t>
  </si>
  <si>
    <t xml:space="preserve">CITY OF TABUK </t>
  </si>
  <si>
    <t>Agbannawag</t>
  </si>
  <si>
    <t>Amlao</t>
  </si>
  <si>
    <t>Appas</t>
  </si>
  <si>
    <t>Bagumbayan</t>
  </si>
  <si>
    <t>Balawag</t>
  </si>
  <si>
    <t>Balong</t>
  </si>
  <si>
    <t>Bantay</t>
  </si>
  <si>
    <t>Bulanao</t>
  </si>
  <si>
    <t>Cabaritan</t>
  </si>
  <si>
    <t>Cabaruan</t>
  </si>
  <si>
    <t>Calaccad</t>
  </si>
  <si>
    <t>Calanan</t>
  </si>
  <si>
    <t>Dilag</t>
  </si>
  <si>
    <t>Dupag</t>
  </si>
  <si>
    <t>Gobgob</t>
  </si>
  <si>
    <t>Guilayon</t>
  </si>
  <si>
    <t>Lanna</t>
  </si>
  <si>
    <t>Laya East</t>
  </si>
  <si>
    <t>Laya West</t>
  </si>
  <si>
    <t>Lucog</t>
  </si>
  <si>
    <t>Magnao</t>
  </si>
  <si>
    <t>Magsaysay</t>
  </si>
  <si>
    <t>Malalao</t>
  </si>
  <si>
    <t>Masablang</t>
  </si>
  <si>
    <t>Nambaran</t>
  </si>
  <si>
    <t>Nambucayan</t>
  </si>
  <si>
    <t>Naneng</t>
  </si>
  <si>
    <t xml:space="preserve">Dagupan Centro </t>
  </si>
  <si>
    <t>San Juan</t>
  </si>
  <si>
    <t>Suyang</t>
  </si>
  <si>
    <t>Tuga</t>
  </si>
  <si>
    <t>Bado Dangwa</t>
  </si>
  <si>
    <t>Bulo</t>
  </si>
  <si>
    <t>Casigayan</t>
  </si>
  <si>
    <t>Cudal</t>
  </si>
  <si>
    <t>Dagupan Weste</t>
  </si>
  <si>
    <t>Lacnog</t>
  </si>
  <si>
    <t>Malin-awa</t>
  </si>
  <si>
    <t>New Tanglag</t>
  </si>
  <si>
    <t>San Julian</t>
  </si>
  <si>
    <t>Bulanao Norte</t>
  </si>
  <si>
    <t>Ipil</t>
  </si>
  <si>
    <t>Lacnog West</t>
  </si>
  <si>
    <t>TANUDAN</t>
  </si>
  <si>
    <t>Anggacan</t>
  </si>
  <si>
    <t>Babbanoy</t>
  </si>
  <si>
    <t>Dacalan</t>
  </si>
  <si>
    <t>Gaang</t>
  </si>
  <si>
    <t>Lower Mangali</t>
  </si>
  <si>
    <t>Lower Taloctoc</t>
  </si>
  <si>
    <t>Lower Lubo</t>
  </si>
  <si>
    <t>Upper Lubo</t>
  </si>
  <si>
    <t>Pangol</t>
  </si>
  <si>
    <t>Upper Taloctoc</t>
  </si>
  <si>
    <t>Anggacan Sur</t>
  </si>
  <si>
    <t>Dupligan</t>
  </si>
  <si>
    <t>Lay-asan</t>
  </si>
  <si>
    <t>Mangali Centro</t>
  </si>
  <si>
    <t>TINGLAYAN</t>
  </si>
  <si>
    <t>Ambato Legleg</t>
  </si>
  <si>
    <t>Bangad Centro</t>
  </si>
  <si>
    <t>Basao</t>
  </si>
  <si>
    <t>Belong Manubal</t>
  </si>
  <si>
    <t>Butbut</t>
  </si>
  <si>
    <t>Bugnay</t>
  </si>
  <si>
    <t>Buscalan</t>
  </si>
  <si>
    <t>Dananao</t>
  </si>
  <si>
    <t>Loccong</t>
  </si>
  <si>
    <t>Luplupa</t>
  </si>
  <si>
    <t>Mallango</t>
  </si>
  <si>
    <t>Sumadel 1</t>
  </si>
  <si>
    <t>Sumadel 2</t>
  </si>
  <si>
    <t>Tulgao East</t>
  </si>
  <si>
    <t>Tulgao West</t>
  </si>
  <si>
    <t>Upper Bangad</t>
  </si>
  <si>
    <t>Ngibat</t>
  </si>
  <si>
    <t>Old Tinglayan</t>
  </si>
  <si>
    <t>Lower Bangad</t>
  </si>
  <si>
    <t>Total</t>
  </si>
  <si>
    <t>05-09</t>
  </si>
  <si>
    <t>10-14</t>
  </si>
  <si>
    <t>80 and over</t>
  </si>
  <si>
    <t>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</si>
</sst>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7498-D94A-4EB8-A8CA-405A734EC41B}">
  <dimension ref="A1:BC163"/>
  <sheetViews>
    <sheetView zoomScaleNormal="100" workbookViewId="0">
      <pane ySplit="2" topLeftCell="A3" activePane="bottomLeft" state="frozen"/>
      <selection pane="bottomLeft" activeCell="E2" sqref="E1:E1048576"/>
    </sheetView>
  </sheetViews>
  <sheetFormatPr defaultRowHeight="15" x14ac:dyDescent="0.25"/>
  <cols>
    <col min="1" max="1" width="41.42578125" bestFit="1" customWidth="1"/>
    <col min="2" max="2" width="10.140625" bestFit="1" customWidth="1"/>
    <col min="3" max="3" width="17.42578125" customWidth="1"/>
    <col min="4" max="4" width="15.7109375" bestFit="1" customWidth="1"/>
    <col min="21" max="21" width="12.5703125" bestFit="1" customWidth="1"/>
  </cols>
  <sheetData>
    <row r="1" spans="1:55" x14ac:dyDescent="0.25">
      <c r="E1" s="3" t="s">
        <v>164</v>
      </c>
      <c r="F1" s="3"/>
      <c r="G1" s="3"/>
      <c r="H1" s="3" t="s">
        <v>502</v>
      </c>
      <c r="I1" s="3"/>
      <c r="J1" s="3"/>
      <c r="K1" s="3" t="s">
        <v>500</v>
      </c>
      <c r="L1" s="3"/>
      <c r="M1" s="3"/>
      <c r="N1" s="3" t="s">
        <v>165</v>
      </c>
      <c r="O1" s="3"/>
      <c r="P1" s="3"/>
      <c r="Q1" s="3" t="s">
        <v>166</v>
      </c>
      <c r="R1" s="3"/>
      <c r="S1" s="3"/>
      <c r="T1" s="3" t="s">
        <v>167</v>
      </c>
      <c r="U1" s="3"/>
      <c r="V1" s="3"/>
      <c r="W1" s="3" t="s">
        <v>168</v>
      </c>
      <c r="X1" s="3"/>
      <c r="Y1" s="3"/>
      <c r="Z1" s="3" t="s">
        <v>169</v>
      </c>
      <c r="AA1" s="3"/>
      <c r="AB1" s="3"/>
      <c r="AC1" s="3" t="s">
        <v>170</v>
      </c>
      <c r="AD1" s="3"/>
      <c r="AE1" s="3"/>
      <c r="AF1" s="3" t="s">
        <v>171</v>
      </c>
      <c r="AG1" s="3"/>
      <c r="AH1" s="3"/>
      <c r="AI1" s="3" t="s">
        <v>172</v>
      </c>
      <c r="AJ1" s="3"/>
      <c r="AK1" s="3"/>
      <c r="AL1" s="3" t="s">
        <v>173</v>
      </c>
      <c r="AM1" s="3"/>
      <c r="AN1" s="3"/>
      <c r="AO1" s="3" t="s">
        <v>174</v>
      </c>
      <c r="AP1" s="3"/>
      <c r="AQ1" s="3"/>
      <c r="AR1" s="3" t="s">
        <v>175</v>
      </c>
      <c r="AS1" s="3"/>
      <c r="AT1" s="3"/>
      <c r="AU1" s="3" t="s">
        <v>176</v>
      </c>
      <c r="AV1" s="3"/>
      <c r="AW1" s="3"/>
      <c r="AX1" s="3" t="s">
        <v>177</v>
      </c>
      <c r="AY1" s="3"/>
      <c r="AZ1" s="3"/>
      <c r="BA1" s="3" t="s">
        <v>178</v>
      </c>
      <c r="BB1" s="3"/>
      <c r="BC1" s="3"/>
    </row>
    <row r="2" spans="1:55" x14ac:dyDescent="0.25">
      <c r="B2" t="s">
        <v>159</v>
      </c>
      <c r="C2" t="s">
        <v>160</v>
      </c>
      <c r="D2" t="s">
        <v>161</v>
      </c>
      <c r="E2" t="s">
        <v>498</v>
      </c>
      <c r="F2" t="s">
        <v>162</v>
      </c>
      <c r="G2" t="s">
        <v>163</v>
      </c>
      <c r="H2" t="s">
        <v>498</v>
      </c>
      <c r="I2" t="s">
        <v>162</v>
      </c>
      <c r="J2" t="s">
        <v>163</v>
      </c>
      <c r="K2" t="s">
        <v>498</v>
      </c>
      <c r="L2" t="s">
        <v>162</v>
      </c>
      <c r="M2" t="s">
        <v>163</v>
      </c>
      <c r="N2" t="s">
        <v>498</v>
      </c>
      <c r="O2" t="s">
        <v>162</v>
      </c>
      <c r="P2" t="s">
        <v>163</v>
      </c>
      <c r="Q2" t="s">
        <v>498</v>
      </c>
      <c r="R2" t="s">
        <v>162</v>
      </c>
      <c r="S2" t="s">
        <v>163</v>
      </c>
      <c r="T2" t="s">
        <v>498</v>
      </c>
      <c r="U2" t="s">
        <v>162</v>
      </c>
      <c r="V2" t="s">
        <v>163</v>
      </c>
      <c r="W2" t="s">
        <v>498</v>
      </c>
      <c r="X2" t="s">
        <v>162</v>
      </c>
      <c r="Y2" t="s">
        <v>163</v>
      </c>
      <c r="Z2" t="s">
        <v>498</v>
      </c>
      <c r="AA2" t="s">
        <v>162</v>
      </c>
      <c r="AB2" t="s">
        <v>163</v>
      </c>
      <c r="AC2" t="s">
        <v>498</v>
      </c>
      <c r="AD2" t="s">
        <v>162</v>
      </c>
      <c r="AE2" t="s">
        <v>163</v>
      </c>
      <c r="AF2" t="s">
        <v>498</v>
      </c>
      <c r="AG2" t="s">
        <v>162</v>
      </c>
      <c r="AH2" t="s">
        <v>163</v>
      </c>
      <c r="AI2" t="s">
        <v>498</v>
      </c>
      <c r="AJ2" t="s">
        <v>162</v>
      </c>
      <c r="AK2" t="s">
        <v>163</v>
      </c>
      <c r="AL2" t="s">
        <v>498</v>
      </c>
      <c r="AM2" t="s">
        <v>162</v>
      </c>
      <c r="AN2" t="s">
        <v>163</v>
      </c>
      <c r="AO2" t="s">
        <v>498</v>
      </c>
      <c r="AP2" t="s">
        <v>162</v>
      </c>
      <c r="AQ2" t="s">
        <v>163</v>
      </c>
      <c r="AR2" t="s">
        <v>498</v>
      </c>
      <c r="AS2" t="s">
        <v>162</v>
      </c>
      <c r="AT2" t="s">
        <v>163</v>
      </c>
      <c r="AU2" t="s">
        <v>498</v>
      </c>
      <c r="AV2" t="s">
        <v>162</v>
      </c>
      <c r="AW2" t="s">
        <v>163</v>
      </c>
      <c r="AX2" t="s">
        <v>498</v>
      </c>
      <c r="AY2" t="s">
        <v>162</v>
      </c>
      <c r="AZ2" t="s">
        <v>163</v>
      </c>
      <c r="BA2" t="s">
        <v>498</v>
      </c>
      <c r="BB2" t="s">
        <v>162</v>
      </c>
      <c r="BC2" t="s">
        <v>163</v>
      </c>
    </row>
    <row r="3" spans="1:55" x14ac:dyDescent="0.25">
      <c r="A3" t="s">
        <v>1</v>
      </c>
      <c r="B3">
        <v>38642</v>
      </c>
      <c r="C3">
        <v>201206</v>
      </c>
      <c r="D3" s="1">
        <v>201613</v>
      </c>
      <c r="E3">
        <v>22914</v>
      </c>
      <c r="F3">
        <v>12006</v>
      </c>
      <c r="G3">
        <v>10908</v>
      </c>
      <c r="H3">
        <v>23647</v>
      </c>
      <c r="I3">
        <v>12332</v>
      </c>
      <c r="J3">
        <v>11315</v>
      </c>
      <c r="K3">
        <v>23627</v>
      </c>
      <c r="L3">
        <v>12125</v>
      </c>
      <c r="M3">
        <v>11502</v>
      </c>
      <c r="N3">
        <v>23093</v>
      </c>
      <c r="O3">
        <v>11703</v>
      </c>
      <c r="P3">
        <v>11390</v>
      </c>
      <c r="Q3">
        <v>19308</v>
      </c>
      <c r="R3">
        <v>10056</v>
      </c>
      <c r="S3">
        <v>9252</v>
      </c>
      <c r="T3">
        <v>15420</v>
      </c>
      <c r="U3">
        <v>8195</v>
      </c>
      <c r="V3">
        <v>7225</v>
      </c>
      <c r="W3">
        <v>13416</v>
      </c>
      <c r="X3">
        <v>7042</v>
      </c>
      <c r="Y3">
        <v>6374</v>
      </c>
      <c r="Z3">
        <v>11852</v>
      </c>
      <c r="AA3">
        <v>6166</v>
      </c>
      <c r="AB3">
        <v>5686</v>
      </c>
      <c r="AC3">
        <v>10845</v>
      </c>
      <c r="AD3">
        <v>5635</v>
      </c>
      <c r="AE3">
        <v>5210</v>
      </c>
      <c r="AF3">
        <v>9444</v>
      </c>
      <c r="AG3">
        <v>4919</v>
      </c>
      <c r="AH3">
        <v>4525</v>
      </c>
      <c r="AI3">
        <v>7982</v>
      </c>
      <c r="AJ3">
        <v>3965</v>
      </c>
      <c r="AK3">
        <v>4017</v>
      </c>
      <c r="AL3">
        <v>6130</v>
      </c>
      <c r="AM3">
        <v>3144</v>
      </c>
      <c r="AN3">
        <v>2986</v>
      </c>
      <c r="AO3">
        <v>4566</v>
      </c>
      <c r="AP3">
        <v>2272</v>
      </c>
      <c r="AQ3">
        <v>2294</v>
      </c>
      <c r="AR3">
        <v>3290</v>
      </c>
      <c r="AS3">
        <v>1577</v>
      </c>
      <c r="AT3">
        <v>1713</v>
      </c>
      <c r="AU3">
        <v>2695</v>
      </c>
      <c r="AV3">
        <v>1257</v>
      </c>
      <c r="AW3">
        <v>1438</v>
      </c>
      <c r="AX3">
        <v>1563</v>
      </c>
      <c r="AY3">
        <v>761</v>
      </c>
      <c r="AZ3">
        <v>802</v>
      </c>
      <c r="BA3">
        <v>1414</v>
      </c>
      <c r="BB3">
        <v>550</v>
      </c>
      <c r="BC3">
        <v>864</v>
      </c>
    </row>
    <row r="4" spans="1:55" x14ac:dyDescent="0.25">
      <c r="A4" t="s">
        <v>2</v>
      </c>
      <c r="B4">
        <v>2137</v>
      </c>
      <c r="C4">
        <v>12072</v>
      </c>
      <c r="D4">
        <v>12082</v>
      </c>
      <c r="E4">
        <v>1205</v>
      </c>
      <c r="F4">
        <v>630</v>
      </c>
      <c r="G4">
        <v>575</v>
      </c>
      <c r="H4">
        <v>1264</v>
      </c>
      <c r="I4">
        <v>677</v>
      </c>
      <c r="J4">
        <v>587</v>
      </c>
      <c r="K4">
        <v>1372</v>
      </c>
      <c r="L4">
        <v>734</v>
      </c>
      <c r="M4">
        <v>638</v>
      </c>
      <c r="N4">
        <v>1217</v>
      </c>
      <c r="O4">
        <v>638</v>
      </c>
      <c r="P4">
        <v>579</v>
      </c>
      <c r="Q4">
        <v>1084</v>
      </c>
      <c r="R4">
        <v>597</v>
      </c>
      <c r="S4">
        <v>487</v>
      </c>
      <c r="T4">
        <v>821</v>
      </c>
      <c r="U4">
        <v>482</v>
      </c>
      <c r="V4">
        <v>339</v>
      </c>
      <c r="W4">
        <v>783</v>
      </c>
      <c r="X4">
        <v>462</v>
      </c>
      <c r="Y4">
        <v>321</v>
      </c>
      <c r="Z4">
        <f>674+2</f>
        <v>676</v>
      </c>
      <c r="AA4">
        <f>383+2</f>
        <v>385</v>
      </c>
      <c r="AB4">
        <v>291</v>
      </c>
      <c r="AC4">
        <f>713+2</f>
        <v>715</v>
      </c>
      <c r="AD4">
        <f>2+386</f>
        <v>388</v>
      </c>
      <c r="AE4">
        <v>327</v>
      </c>
      <c r="AF4">
        <f>3+698</f>
        <v>701</v>
      </c>
      <c r="AG4">
        <f>3+387</f>
        <v>390</v>
      </c>
      <c r="AH4">
        <v>311</v>
      </c>
      <c r="AI4">
        <f>559+1</f>
        <v>560</v>
      </c>
      <c r="AJ4">
        <f>1+309</f>
        <v>310</v>
      </c>
      <c r="AK4">
        <v>250</v>
      </c>
      <c r="AL4">
        <f>2+440</f>
        <v>442</v>
      </c>
      <c r="AM4">
        <f>2+226</f>
        <v>228</v>
      </c>
      <c r="AN4">
        <v>214</v>
      </c>
      <c r="AO4">
        <v>374</v>
      </c>
      <c r="AP4">
        <v>179</v>
      </c>
      <c r="AQ4">
        <v>195</v>
      </c>
      <c r="AR4">
        <v>325</v>
      </c>
      <c r="AS4">
        <v>148</v>
      </c>
      <c r="AT4">
        <v>177</v>
      </c>
      <c r="AU4">
        <v>234</v>
      </c>
      <c r="AV4">
        <v>114</v>
      </c>
      <c r="AW4">
        <v>120</v>
      </c>
      <c r="AX4">
        <v>171</v>
      </c>
      <c r="AY4">
        <v>94</v>
      </c>
      <c r="AZ4">
        <v>77</v>
      </c>
      <c r="BA4">
        <v>138</v>
      </c>
      <c r="BB4">
        <v>55</v>
      </c>
      <c r="BC4">
        <v>83</v>
      </c>
    </row>
    <row r="5" spans="1:55" x14ac:dyDescent="0.25">
      <c r="A5" t="s">
        <v>3</v>
      </c>
      <c r="B5">
        <v>74</v>
      </c>
      <c r="C5">
        <v>391</v>
      </c>
      <c r="D5">
        <v>391</v>
      </c>
    </row>
    <row r="6" spans="1:55" x14ac:dyDescent="0.25">
      <c r="A6" t="s">
        <v>4</v>
      </c>
      <c r="B6">
        <v>255</v>
      </c>
      <c r="C6">
        <v>1455</v>
      </c>
      <c r="D6">
        <v>1455</v>
      </c>
    </row>
    <row r="7" spans="1:55" x14ac:dyDescent="0.25">
      <c r="A7" t="s">
        <v>5</v>
      </c>
      <c r="B7">
        <v>185</v>
      </c>
      <c r="C7">
        <v>1016</v>
      </c>
      <c r="D7">
        <v>1016</v>
      </c>
    </row>
    <row r="8" spans="1:55" x14ac:dyDescent="0.25">
      <c r="A8" t="s">
        <v>6</v>
      </c>
      <c r="B8">
        <v>178</v>
      </c>
      <c r="C8">
        <v>923</v>
      </c>
      <c r="D8">
        <v>923</v>
      </c>
    </row>
    <row r="9" spans="1:55" x14ac:dyDescent="0.25">
      <c r="A9" t="s">
        <v>7</v>
      </c>
      <c r="B9">
        <v>147</v>
      </c>
      <c r="C9">
        <v>779</v>
      </c>
      <c r="D9">
        <v>779</v>
      </c>
    </row>
    <row r="10" spans="1:55" x14ac:dyDescent="0.25">
      <c r="A10" t="s">
        <v>8</v>
      </c>
      <c r="B10">
        <v>111</v>
      </c>
      <c r="C10">
        <v>635</v>
      </c>
      <c r="D10">
        <v>635</v>
      </c>
    </row>
    <row r="11" spans="1:55" x14ac:dyDescent="0.25">
      <c r="A11" t="s">
        <v>9</v>
      </c>
      <c r="B11">
        <v>153</v>
      </c>
      <c r="C11">
        <v>1006</v>
      </c>
      <c r="D11">
        <v>1006</v>
      </c>
    </row>
    <row r="12" spans="1:55" x14ac:dyDescent="0.25">
      <c r="A12" t="s">
        <v>10</v>
      </c>
      <c r="B12">
        <v>129</v>
      </c>
      <c r="C12">
        <v>697</v>
      </c>
      <c r="D12">
        <v>697</v>
      </c>
    </row>
    <row r="13" spans="1:55" x14ac:dyDescent="0.25">
      <c r="A13" t="s">
        <v>11</v>
      </c>
      <c r="B13">
        <v>70</v>
      </c>
      <c r="C13">
        <v>424</v>
      </c>
      <c r="D13">
        <v>434</v>
      </c>
    </row>
    <row r="14" spans="1:55" x14ac:dyDescent="0.25">
      <c r="A14" t="s">
        <v>12</v>
      </c>
      <c r="B14">
        <v>172</v>
      </c>
      <c r="C14">
        <v>1064</v>
      </c>
      <c r="D14">
        <v>1064</v>
      </c>
    </row>
    <row r="15" spans="1:55" x14ac:dyDescent="0.25">
      <c r="A15" t="s">
        <v>13</v>
      </c>
      <c r="B15">
        <v>176</v>
      </c>
      <c r="C15">
        <v>968</v>
      </c>
      <c r="D15">
        <v>968</v>
      </c>
    </row>
    <row r="16" spans="1:55" x14ac:dyDescent="0.25">
      <c r="A16" t="s">
        <v>14</v>
      </c>
      <c r="B16">
        <v>247</v>
      </c>
      <c r="C16">
        <v>1195</v>
      </c>
      <c r="D16">
        <v>1195</v>
      </c>
    </row>
    <row r="17" spans="1:55" x14ac:dyDescent="0.25">
      <c r="A17" t="s">
        <v>15</v>
      </c>
      <c r="B17">
        <v>95</v>
      </c>
      <c r="C17">
        <v>628</v>
      </c>
      <c r="D17">
        <v>628</v>
      </c>
    </row>
    <row r="18" spans="1:55" x14ac:dyDescent="0.25">
      <c r="A18" t="s">
        <v>16</v>
      </c>
      <c r="B18">
        <v>145</v>
      </c>
      <c r="C18">
        <v>891</v>
      </c>
      <c r="D18">
        <v>891</v>
      </c>
    </row>
    <row r="19" spans="1:55" x14ac:dyDescent="0.25">
      <c r="A19" t="s">
        <v>17</v>
      </c>
      <c r="B19">
        <v>1823</v>
      </c>
      <c r="C19">
        <v>9369</v>
      </c>
      <c r="D19">
        <v>9369</v>
      </c>
      <c r="E19">
        <v>933</v>
      </c>
      <c r="F19">
        <v>482</v>
      </c>
      <c r="G19">
        <v>451</v>
      </c>
      <c r="H19">
        <v>1009</v>
      </c>
      <c r="I19">
        <v>506</v>
      </c>
      <c r="J19">
        <v>503</v>
      </c>
      <c r="K19">
        <v>1037</v>
      </c>
      <c r="L19">
        <v>502</v>
      </c>
      <c r="M19">
        <v>535</v>
      </c>
      <c r="N19">
        <v>1152</v>
      </c>
      <c r="O19">
        <v>604</v>
      </c>
      <c r="P19">
        <v>548</v>
      </c>
      <c r="Q19">
        <v>940</v>
      </c>
      <c r="R19">
        <v>517</v>
      </c>
      <c r="S19">
        <v>423</v>
      </c>
      <c r="T19">
        <v>752</v>
      </c>
      <c r="U19">
        <v>432</v>
      </c>
      <c r="V19">
        <v>320</v>
      </c>
      <c r="W19">
        <v>623</v>
      </c>
      <c r="X19">
        <v>343</v>
      </c>
      <c r="Y19">
        <v>280</v>
      </c>
      <c r="Z19">
        <v>510</v>
      </c>
      <c r="AA19">
        <v>263</v>
      </c>
      <c r="AB19">
        <v>247</v>
      </c>
      <c r="AC19">
        <v>497</v>
      </c>
      <c r="AD19">
        <v>270</v>
      </c>
      <c r="AE19">
        <v>227</v>
      </c>
      <c r="AF19">
        <v>437</v>
      </c>
      <c r="AG19">
        <v>222</v>
      </c>
      <c r="AH19">
        <v>215</v>
      </c>
      <c r="AI19">
        <v>396</v>
      </c>
      <c r="AJ19">
        <v>197</v>
      </c>
      <c r="AK19">
        <v>199</v>
      </c>
      <c r="AL19">
        <v>309</v>
      </c>
      <c r="AM19">
        <v>161</v>
      </c>
      <c r="AN19">
        <v>148</v>
      </c>
      <c r="AO19">
        <v>244</v>
      </c>
      <c r="AP19">
        <v>121</v>
      </c>
      <c r="AQ19">
        <v>123</v>
      </c>
      <c r="AR19">
        <v>218</v>
      </c>
      <c r="AS19">
        <v>100</v>
      </c>
      <c r="AT19">
        <v>118</v>
      </c>
      <c r="AU19">
        <v>172</v>
      </c>
      <c r="AV19">
        <v>83</v>
      </c>
      <c r="AW19">
        <v>89</v>
      </c>
      <c r="AX19">
        <v>77</v>
      </c>
      <c r="AY19">
        <v>34</v>
      </c>
      <c r="AZ19">
        <v>43</v>
      </c>
      <c r="BA19">
        <v>63</v>
      </c>
      <c r="BB19">
        <v>29</v>
      </c>
      <c r="BC19">
        <v>34</v>
      </c>
    </row>
    <row r="20" spans="1:55" x14ac:dyDescent="0.25">
      <c r="A20" t="s">
        <v>18</v>
      </c>
      <c r="B20">
        <v>253</v>
      </c>
      <c r="C20">
        <v>1304</v>
      </c>
      <c r="D20">
        <v>1304</v>
      </c>
    </row>
    <row r="21" spans="1:55" x14ac:dyDescent="0.25">
      <c r="A21" t="s">
        <v>19</v>
      </c>
      <c r="B21">
        <v>270</v>
      </c>
      <c r="C21">
        <v>1327</v>
      </c>
      <c r="D21">
        <v>1327</v>
      </c>
    </row>
    <row r="22" spans="1:55" x14ac:dyDescent="0.25">
      <c r="A22" t="s">
        <v>20</v>
      </c>
      <c r="B22">
        <v>188</v>
      </c>
      <c r="C22">
        <v>913</v>
      </c>
      <c r="D22">
        <v>913</v>
      </c>
    </row>
    <row r="23" spans="1:55" x14ac:dyDescent="0.25">
      <c r="A23" t="s">
        <v>21</v>
      </c>
      <c r="B23">
        <v>324</v>
      </c>
      <c r="C23">
        <v>1550</v>
      </c>
      <c r="D23">
        <v>1550</v>
      </c>
    </row>
    <row r="24" spans="1:55" x14ac:dyDescent="0.25">
      <c r="A24" t="s">
        <v>22</v>
      </c>
      <c r="B24">
        <v>123</v>
      </c>
      <c r="C24">
        <v>713</v>
      </c>
      <c r="D24">
        <v>713</v>
      </c>
    </row>
    <row r="25" spans="1:55" x14ac:dyDescent="0.25">
      <c r="A25" t="s">
        <v>23</v>
      </c>
      <c r="B25">
        <v>132</v>
      </c>
      <c r="C25">
        <v>641</v>
      </c>
      <c r="D25">
        <v>641</v>
      </c>
    </row>
    <row r="26" spans="1:55" x14ac:dyDescent="0.25">
      <c r="A26" t="s">
        <v>24</v>
      </c>
      <c r="B26">
        <v>146</v>
      </c>
      <c r="C26">
        <v>818</v>
      </c>
      <c r="D26">
        <v>818</v>
      </c>
    </row>
    <row r="27" spans="1:55" x14ac:dyDescent="0.25">
      <c r="A27" t="s">
        <v>25</v>
      </c>
      <c r="B27">
        <v>186</v>
      </c>
      <c r="C27">
        <v>965</v>
      </c>
      <c r="D27">
        <v>965</v>
      </c>
    </row>
    <row r="28" spans="1:55" x14ac:dyDescent="0.25">
      <c r="A28" t="s">
        <v>26</v>
      </c>
      <c r="B28">
        <v>201</v>
      </c>
      <c r="C28">
        <v>1138</v>
      </c>
      <c r="D28">
        <v>1138</v>
      </c>
    </row>
    <row r="29" spans="1:55" x14ac:dyDescent="0.25">
      <c r="A29" t="s">
        <v>27</v>
      </c>
      <c r="B29">
        <v>1683</v>
      </c>
      <c r="C29">
        <v>9626</v>
      </c>
      <c r="D29">
        <v>9626</v>
      </c>
      <c r="E29">
        <v>971</v>
      </c>
      <c r="F29">
        <v>517</v>
      </c>
      <c r="G29">
        <v>454</v>
      </c>
      <c r="H29">
        <v>1041</v>
      </c>
      <c r="I29">
        <v>538</v>
      </c>
      <c r="J29">
        <v>503</v>
      </c>
      <c r="K29">
        <v>1043</v>
      </c>
      <c r="L29">
        <v>551</v>
      </c>
      <c r="M29">
        <v>492</v>
      </c>
      <c r="N29">
        <v>1101</v>
      </c>
      <c r="O29">
        <v>557</v>
      </c>
      <c r="P29">
        <v>544</v>
      </c>
      <c r="Q29">
        <v>962</v>
      </c>
      <c r="R29">
        <v>500</v>
      </c>
      <c r="S29">
        <v>462</v>
      </c>
      <c r="T29">
        <v>832</v>
      </c>
      <c r="U29">
        <v>440</v>
      </c>
      <c r="V29">
        <v>392</v>
      </c>
      <c r="W29">
        <v>672</v>
      </c>
      <c r="X29">
        <v>356</v>
      </c>
      <c r="Y29">
        <v>316</v>
      </c>
      <c r="Z29">
        <v>553</v>
      </c>
      <c r="AA29">
        <v>298</v>
      </c>
      <c r="AB29">
        <v>255</v>
      </c>
      <c r="AC29">
        <v>517</v>
      </c>
      <c r="AD29">
        <v>294</v>
      </c>
      <c r="AE29">
        <v>223</v>
      </c>
      <c r="AF29">
        <v>445</v>
      </c>
      <c r="AG29">
        <v>234</v>
      </c>
      <c r="AH29">
        <v>211</v>
      </c>
      <c r="AI29">
        <v>354</v>
      </c>
      <c r="AJ29">
        <v>179</v>
      </c>
      <c r="AK29">
        <v>175</v>
      </c>
      <c r="AL29">
        <v>322</v>
      </c>
      <c r="AM29">
        <v>166</v>
      </c>
      <c r="AN29">
        <v>156</v>
      </c>
      <c r="AO29">
        <v>263</v>
      </c>
      <c r="AP29">
        <v>130</v>
      </c>
      <c r="AQ29">
        <v>133</v>
      </c>
      <c r="AR29">
        <v>197</v>
      </c>
      <c r="AS29">
        <v>91</v>
      </c>
      <c r="AT29">
        <v>106</v>
      </c>
      <c r="AU29">
        <v>184</v>
      </c>
      <c r="AV29">
        <v>94</v>
      </c>
      <c r="AW29">
        <v>90</v>
      </c>
      <c r="AX29">
        <v>100</v>
      </c>
      <c r="AY29">
        <v>49</v>
      </c>
      <c r="AZ29">
        <v>51</v>
      </c>
      <c r="BA29">
        <v>69</v>
      </c>
      <c r="BB29">
        <v>32</v>
      </c>
      <c r="BC29">
        <v>37</v>
      </c>
    </row>
    <row r="30" spans="1:55" x14ac:dyDescent="0.25">
      <c r="A30" t="s">
        <v>28</v>
      </c>
      <c r="B30">
        <v>91</v>
      </c>
      <c r="C30">
        <v>548</v>
      </c>
      <c r="D30">
        <v>548</v>
      </c>
    </row>
    <row r="31" spans="1:55" x14ac:dyDescent="0.25">
      <c r="A31" t="s">
        <v>29</v>
      </c>
      <c r="B31">
        <v>304</v>
      </c>
      <c r="C31">
        <v>1442</v>
      </c>
      <c r="D31">
        <v>1442</v>
      </c>
    </row>
    <row r="32" spans="1:55" x14ac:dyDescent="0.25">
      <c r="A32" t="s">
        <v>30</v>
      </c>
      <c r="B32">
        <v>148</v>
      </c>
      <c r="C32">
        <v>855</v>
      </c>
      <c r="D32">
        <v>855</v>
      </c>
    </row>
    <row r="33" spans="1:55" x14ac:dyDescent="0.25">
      <c r="A33" t="s">
        <v>31</v>
      </c>
      <c r="B33">
        <v>211</v>
      </c>
      <c r="C33">
        <v>1218</v>
      </c>
      <c r="D33">
        <v>1218</v>
      </c>
    </row>
    <row r="34" spans="1:55" x14ac:dyDescent="0.25">
      <c r="A34" t="s">
        <v>32</v>
      </c>
      <c r="B34">
        <v>57</v>
      </c>
      <c r="C34">
        <v>367</v>
      </c>
      <c r="D34">
        <v>367</v>
      </c>
    </row>
    <row r="35" spans="1:55" x14ac:dyDescent="0.25">
      <c r="A35" t="s">
        <v>33</v>
      </c>
      <c r="B35">
        <v>73</v>
      </c>
      <c r="C35">
        <v>420</v>
      </c>
      <c r="D35">
        <v>420</v>
      </c>
    </row>
    <row r="36" spans="1:55" x14ac:dyDescent="0.25">
      <c r="A36" t="s">
        <v>34</v>
      </c>
      <c r="B36">
        <v>106</v>
      </c>
      <c r="C36">
        <v>664</v>
      </c>
      <c r="D36">
        <v>664</v>
      </c>
    </row>
    <row r="37" spans="1:55" x14ac:dyDescent="0.25">
      <c r="A37" t="s">
        <v>35</v>
      </c>
      <c r="B37">
        <v>65</v>
      </c>
      <c r="C37">
        <v>368</v>
      </c>
      <c r="D37">
        <v>368</v>
      </c>
    </row>
    <row r="38" spans="1:55" x14ac:dyDescent="0.25">
      <c r="A38" t="s">
        <v>36</v>
      </c>
      <c r="B38">
        <v>156</v>
      </c>
      <c r="C38">
        <v>954</v>
      </c>
      <c r="D38">
        <v>954</v>
      </c>
    </row>
    <row r="39" spans="1:55" x14ac:dyDescent="0.25">
      <c r="A39" t="s">
        <v>37</v>
      </c>
      <c r="B39">
        <v>117</v>
      </c>
      <c r="C39">
        <v>702</v>
      </c>
      <c r="D39">
        <v>702</v>
      </c>
    </row>
    <row r="40" spans="1:55" x14ac:dyDescent="0.25">
      <c r="A40" t="s">
        <v>38</v>
      </c>
      <c r="B40">
        <v>83</v>
      </c>
      <c r="C40">
        <v>535</v>
      </c>
      <c r="D40">
        <v>535</v>
      </c>
    </row>
    <row r="41" spans="1:55" x14ac:dyDescent="0.25">
      <c r="A41" t="s">
        <v>39</v>
      </c>
      <c r="B41">
        <v>117</v>
      </c>
      <c r="C41">
        <v>702</v>
      </c>
      <c r="D41">
        <v>702</v>
      </c>
    </row>
    <row r="42" spans="1:55" x14ac:dyDescent="0.25">
      <c r="A42" t="s">
        <v>40</v>
      </c>
      <c r="B42">
        <v>76</v>
      </c>
      <c r="C42">
        <v>439</v>
      </c>
      <c r="D42">
        <v>439</v>
      </c>
    </row>
    <row r="43" spans="1:55" x14ac:dyDescent="0.25">
      <c r="A43" t="s">
        <v>41</v>
      </c>
      <c r="B43">
        <v>79</v>
      </c>
      <c r="C43">
        <v>412</v>
      </c>
      <c r="D43">
        <v>412</v>
      </c>
    </row>
    <row r="44" spans="1:55" x14ac:dyDescent="0.25">
      <c r="A44" t="s">
        <v>42</v>
      </c>
      <c r="B44">
        <v>5512</v>
      </c>
      <c r="C44">
        <v>29537</v>
      </c>
      <c r="D44">
        <v>29596</v>
      </c>
      <c r="E44">
        <v>3423</v>
      </c>
      <c r="F44">
        <v>1789</v>
      </c>
      <c r="G44">
        <v>1634</v>
      </c>
      <c r="H44">
        <v>3524</v>
      </c>
      <c r="I44">
        <v>1768</v>
      </c>
      <c r="J44">
        <v>1756</v>
      </c>
      <c r="K44">
        <f>3592+1</f>
        <v>3593</v>
      </c>
      <c r="L44">
        <v>1895</v>
      </c>
      <c r="M44">
        <f>1+1697</f>
        <v>1698</v>
      </c>
      <c r="N44">
        <f>1+3324</f>
        <v>3325</v>
      </c>
      <c r="O44">
        <f>1+1698</f>
        <v>1699</v>
      </c>
      <c r="P44">
        <v>1626</v>
      </c>
      <c r="Q44">
        <f>5+2774</f>
        <v>2779</v>
      </c>
      <c r="R44">
        <f>5+1513</f>
        <v>1518</v>
      </c>
      <c r="S44">
        <v>1261</v>
      </c>
      <c r="T44">
        <f>12+2131</f>
        <v>2143</v>
      </c>
      <c r="U44">
        <f>12+1167</f>
        <v>1179</v>
      </c>
      <c r="V44">
        <v>964</v>
      </c>
      <c r="W44">
        <f>19+1926</f>
        <v>1945</v>
      </c>
      <c r="X44">
        <f>18+1055</f>
        <v>1073</v>
      </c>
      <c r="Y44">
        <f>1+871</f>
        <v>872</v>
      </c>
      <c r="Z44">
        <f>4+1741</f>
        <v>1745</v>
      </c>
      <c r="AA44">
        <f>4+936</f>
        <v>940</v>
      </c>
      <c r="AB44">
        <v>805</v>
      </c>
      <c r="AC44">
        <f>5+1621</f>
        <v>1626</v>
      </c>
      <c r="AD44">
        <f>5+850</f>
        <v>855</v>
      </c>
      <c r="AE44">
        <v>771</v>
      </c>
      <c r="AF44">
        <f>6+1432</f>
        <v>1438</v>
      </c>
      <c r="AG44">
        <f>6+777</f>
        <v>783</v>
      </c>
      <c r="AH44">
        <v>655</v>
      </c>
      <c r="AI44">
        <f>2+1182</f>
        <v>1184</v>
      </c>
      <c r="AJ44">
        <v>591</v>
      </c>
      <c r="AK44">
        <f>2+591</f>
        <v>593</v>
      </c>
      <c r="AL44">
        <f>1+876</f>
        <v>877</v>
      </c>
      <c r="AM44">
        <v>470</v>
      </c>
      <c r="AN44">
        <f>1+406</f>
        <v>407</v>
      </c>
      <c r="AO44">
        <v>670</v>
      </c>
      <c r="AP44">
        <v>344</v>
      </c>
      <c r="AQ44">
        <v>326</v>
      </c>
      <c r="AR44">
        <f>2+476</f>
        <v>478</v>
      </c>
      <c r="AS44">
        <f>1+238</f>
        <v>239</v>
      </c>
      <c r="AT44">
        <f>1+238</f>
        <v>239</v>
      </c>
      <c r="AU44">
        <v>408</v>
      </c>
      <c r="AV44">
        <v>194</v>
      </c>
      <c r="AW44">
        <v>214</v>
      </c>
      <c r="AX44">
        <f>1+234</f>
        <v>235</v>
      </c>
      <c r="AY44">
        <v>115</v>
      </c>
      <c r="AZ44">
        <f>1+119</f>
        <v>120</v>
      </c>
      <c r="BA44">
        <v>203</v>
      </c>
      <c r="BB44">
        <v>82</v>
      </c>
      <c r="BC44">
        <v>121</v>
      </c>
    </row>
    <row r="45" spans="1:55" x14ac:dyDescent="0.25">
      <c r="A45" t="s">
        <v>43</v>
      </c>
      <c r="B45">
        <v>173</v>
      </c>
      <c r="C45">
        <v>753</v>
      </c>
      <c r="D45">
        <v>753</v>
      </c>
    </row>
    <row r="46" spans="1:55" x14ac:dyDescent="0.25">
      <c r="A46" t="s">
        <v>44</v>
      </c>
      <c r="B46">
        <v>255</v>
      </c>
      <c r="C46">
        <v>1601</v>
      </c>
      <c r="D46">
        <v>1607</v>
      </c>
    </row>
    <row r="47" spans="1:55" x14ac:dyDescent="0.25">
      <c r="A47" t="s">
        <v>45</v>
      </c>
      <c r="B47">
        <v>296</v>
      </c>
      <c r="C47">
        <v>1526</v>
      </c>
      <c r="D47">
        <v>1526</v>
      </c>
    </row>
    <row r="48" spans="1:55" x14ac:dyDescent="0.25">
      <c r="A48" t="s">
        <v>46</v>
      </c>
      <c r="B48">
        <v>335</v>
      </c>
      <c r="C48">
        <v>1802</v>
      </c>
      <c r="D48">
        <v>1802</v>
      </c>
    </row>
    <row r="49" spans="1:4" x14ac:dyDescent="0.25">
      <c r="A49" t="s">
        <v>47</v>
      </c>
      <c r="B49">
        <v>112</v>
      </c>
      <c r="C49">
        <v>644</v>
      </c>
      <c r="D49">
        <v>644</v>
      </c>
    </row>
    <row r="50" spans="1:4" x14ac:dyDescent="0.25">
      <c r="A50" t="s">
        <v>48</v>
      </c>
      <c r="B50">
        <v>232</v>
      </c>
      <c r="C50">
        <v>1458</v>
      </c>
      <c r="D50">
        <v>1458</v>
      </c>
    </row>
    <row r="51" spans="1:4" x14ac:dyDescent="0.25">
      <c r="A51" t="s">
        <v>49</v>
      </c>
      <c r="B51">
        <v>300</v>
      </c>
      <c r="C51">
        <v>1819</v>
      </c>
      <c r="D51">
        <v>1826</v>
      </c>
    </row>
    <row r="52" spans="1:4" x14ac:dyDescent="0.25">
      <c r="A52" t="s">
        <v>50</v>
      </c>
      <c r="B52">
        <v>198</v>
      </c>
      <c r="C52">
        <v>1036</v>
      </c>
      <c r="D52">
        <v>1036</v>
      </c>
    </row>
    <row r="53" spans="1:4" x14ac:dyDescent="0.25">
      <c r="A53" t="s">
        <v>51</v>
      </c>
      <c r="B53">
        <v>166</v>
      </c>
      <c r="C53">
        <v>808</v>
      </c>
      <c r="D53">
        <v>848</v>
      </c>
    </row>
    <row r="54" spans="1:4" x14ac:dyDescent="0.25">
      <c r="A54" t="s">
        <v>52</v>
      </c>
      <c r="B54">
        <v>322</v>
      </c>
      <c r="C54">
        <v>1682</v>
      </c>
      <c r="D54">
        <v>1682</v>
      </c>
    </row>
    <row r="55" spans="1:4" x14ac:dyDescent="0.25">
      <c r="A55" t="s">
        <v>53</v>
      </c>
      <c r="B55">
        <v>195</v>
      </c>
      <c r="C55">
        <v>1130</v>
      </c>
      <c r="D55">
        <v>1130</v>
      </c>
    </row>
    <row r="56" spans="1:4" x14ac:dyDescent="0.25">
      <c r="A56" t="s">
        <v>54</v>
      </c>
      <c r="B56">
        <v>203</v>
      </c>
      <c r="C56">
        <v>880</v>
      </c>
      <c r="D56">
        <v>880</v>
      </c>
    </row>
    <row r="57" spans="1:4" x14ac:dyDescent="0.25">
      <c r="A57" t="s">
        <v>55</v>
      </c>
      <c r="B57">
        <v>181</v>
      </c>
      <c r="C57">
        <v>1058</v>
      </c>
      <c r="D57">
        <v>1058</v>
      </c>
    </row>
    <row r="58" spans="1:4" x14ac:dyDescent="0.25">
      <c r="A58" t="s">
        <v>56</v>
      </c>
      <c r="B58">
        <v>140</v>
      </c>
      <c r="C58">
        <v>843</v>
      </c>
      <c r="D58">
        <v>843</v>
      </c>
    </row>
    <row r="59" spans="1:4" x14ac:dyDescent="0.25">
      <c r="A59" t="s">
        <v>57</v>
      </c>
      <c r="B59">
        <v>162</v>
      </c>
      <c r="C59">
        <v>803</v>
      </c>
      <c r="D59">
        <v>803</v>
      </c>
    </row>
    <row r="60" spans="1:4" x14ac:dyDescent="0.25">
      <c r="A60" t="s">
        <v>58</v>
      </c>
      <c r="B60">
        <v>308</v>
      </c>
      <c r="C60">
        <v>1690</v>
      </c>
      <c r="D60">
        <v>1690</v>
      </c>
    </row>
    <row r="61" spans="1:4" x14ac:dyDescent="0.25">
      <c r="A61" t="s">
        <v>59</v>
      </c>
      <c r="B61">
        <v>174</v>
      </c>
      <c r="C61">
        <v>852</v>
      </c>
      <c r="D61">
        <v>852</v>
      </c>
    </row>
    <row r="62" spans="1:4" x14ac:dyDescent="0.25">
      <c r="A62" t="s">
        <v>60</v>
      </c>
      <c r="B62">
        <v>192</v>
      </c>
      <c r="C62">
        <v>999</v>
      </c>
      <c r="D62">
        <v>999</v>
      </c>
    </row>
    <row r="63" spans="1:4" x14ac:dyDescent="0.25">
      <c r="A63" t="s">
        <v>61</v>
      </c>
      <c r="B63">
        <v>597</v>
      </c>
      <c r="C63">
        <v>2980</v>
      </c>
      <c r="D63">
        <v>2986</v>
      </c>
    </row>
    <row r="64" spans="1:4" x14ac:dyDescent="0.25">
      <c r="A64" t="s">
        <v>62</v>
      </c>
      <c r="B64">
        <v>259</v>
      </c>
      <c r="C64">
        <v>1287</v>
      </c>
      <c r="D64">
        <v>1287</v>
      </c>
    </row>
    <row r="65" spans="1:55" x14ac:dyDescent="0.25">
      <c r="A65" t="s">
        <v>63</v>
      </c>
      <c r="B65">
        <v>393</v>
      </c>
      <c r="C65">
        <v>2178</v>
      </c>
      <c r="D65">
        <v>2178</v>
      </c>
    </row>
    <row r="66" spans="1:55" x14ac:dyDescent="0.25">
      <c r="A66" t="s">
        <v>64</v>
      </c>
      <c r="B66">
        <v>133</v>
      </c>
      <c r="C66">
        <v>683</v>
      </c>
      <c r="D66">
        <v>683</v>
      </c>
    </row>
    <row r="67" spans="1:55" x14ac:dyDescent="0.25">
      <c r="A67" t="s">
        <v>65</v>
      </c>
      <c r="B67">
        <v>186</v>
      </c>
      <c r="C67">
        <v>1025</v>
      </c>
      <c r="D67">
        <v>1025</v>
      </c>
    </row>
    <row r="68" spans="1:55" x14ac:dyDescent="0.25">
      <c r="A68" t="s">
        <v>66</v>
      </c>
      <c r="B68">
        <v>3433</v>
      </c>
      <c r="C68">
        <v>15942</v>
      </c>
      <c r="D68">
        <v>15942</v>
      </c>
      <c r="E68">
        <v>1833</v>
      </c>
      <c r="F68">
        <v>936</v>
      </c>
      <c r="G68">
        <v>897</v>
      </c>
      <c r="H68">
        <v>1750</v>
      </c>
      <c r="I68">
        <v>930</v>
      </c>
      <c r="J68">
        <v>820</v>
      </c>
      <c r="K68">
        <v>1742</v>
      </c>
      <c r="L68">
        <v>864</v>
      </c>
      <c r="M68">
        <v>878</v>
      </c>
      <c r="N68">
        <v>1743</v>
      </c>
      <c r="O68">
        <v>884</v>
      </c>
      <c r="P68">
        <v>859</v>
      </c>
      <c r="Q68">
        <v>1524</v>
      </c>
      <c r="R68">
        <v>805</v>
      </c>
      <c r="S68">
        <v>719</v>
      </c>
      <c r="T68">
        <v>1232</v>
      </c>
      <c r="U68">
        <v>647</v>
      </c>
      <c r="V68">
        <v>585</v>
      </c>
      <c r="W68">
        <v>1115</v>
      </c>
      <c r="X68">
        <v>563</v>
      </c>
      <c r="Y68">
        <v>552</v>
      </c>
      <c r="Z68">
        <v>1037</v>
      </c>
      <c r="AA68">
        <v>531</v>
      </c>
      <c r="AB68">
        <v>506</v>
      </c>
      <c r="AC68">
        <v>915</v>
      </c>
      <c r="AD68">
        <v>475</v>
      </c>
      <c r="AE68">
        <v>440</v>
      </c>
      <c r="AF68">
        <v>772</v>
      </c>
      <c r="AG68">
        <v>407</v>
      </c>
      <c r="AH68">
        <v>365</v>
      </c>
      <c r="AI68">
        <v>664</v>
      </c>
      <c r="AJ68">
        <v>331</v>
      </c>
      <c r="AK68">
        <v>333</v>
      </c>
      <c r="AL68">
        <v>524</v>
      </c>
      <c r="AM68">
        <v>283</v>
      </c>
      <c r="AN68">
        <v>241</v>
      </c>
      <c r="AO68">
        <v>376</v>
      </c>
      <c r="AP68">
        <v>185</v>
      </c>
      <c r="AQ68">
        <v>191</v>
      </c>
      <c r="AR68">
        <v>271</v>
      </c>
      <c r="AS68">
        <v>130</v>
      </c>
      <c r="AT68">
        <v>141</v>
      </c>
      <c r="AU68">
        <v>200</v>
      </c>
      <c r="AV68">
        <v>92</v>
      </c>
      <c r="AW68">
        <v>108</v>
      </c>
      <c r="AX68">
        <v>123</v>
      </c>
      <c r="AY68">
        <v>60</v>
      </c>
      <c r="AZ68">
        <v>63</v>
      </c>
      <c r="BA68">
        <v>121</v>
      </c>
      <c r="BB68">
        <v>41</v>
      </c>
      <c r="BC68">
        <v>80</v>
      </c>
    </row>
    <row r="69" spans="1:55" x14ac:dyDescent="0.25">
      <c r="A69" t="s">
        <v>67</v>
      </c>
      <c r="B69">
        <v>254</v>
      </c>
      <c r="C69">
        <v>1179</v>
      </c>
      <c r="D69">
        <v>1179</v>
      </c>
    </row>
    <row r="70" spans="1:55" x14ac:dyDescent="0.25">
      <c r="A70" t="s">
        <v>68</v>
      </c>
      <c r="B70">
        <v>280</v>
      </c>
      <c r="C70">
        <v>1304</v>
      </c>
      <c r="D70">
        <v>1304</v>
      </c>
    </row>
    <row r="71" spans="1:55" x14ac:dyDescent="0.25">
      <c r="A71" t="s">
        <v>69</v>
      </c>
      <c r="B71">
        <v>174</v>
      </c>
      <c r="C71">
        <v>762</v>
      </c>
      <c r="D71">
        <v>762</v>
      </c>
    </row>
    <row r="72" spans="1:55" x14ac:dyDescent="0.25">
      <c r="A72" t="s">
        <v>70</v>
      </c>
      <c r="B72">
        <v>299</v>
      </c>
      <c r="C72">
        <v>1349</v>
      </c>
      <c r="D72">
        <v>1349</v>
      </c>
    </row>
    <row r="73" spans="1:55" x14ac:dyDescent="0.25">
      <c r="A73" t="s">
        <v>71</v>
      </c>
      <c r="B73">
        <v>546</v>
      </c>
      <c r="C73">
        <v>2490</v>
      </c>
      <c r="D73">
        <v>2490</v>
      </c>
    </row>
    <row r="74" spans="1:55" x14ac:dyDescent="0.25">
      <c r="A74" t="s">
        <v>72</v>
      </c>
      <c r="B74">
        <v>355</v>
      </c>
      <c r="C74">
        <v>1575</v>
      </c>
      <c r="D74">
        <v>1575</v>
      </c>
    </row>
    <row r="75" spans="1:55" x14ac:dyDescent="0.25">
      <c r="A75" t="s">
        <v>73</v>
      </c>
      <c r="B75">
        <v>266</v>
      </c>
      <c r="C75">
        <v>1190</v>
      </c>
      <c r="D75">
        <v>1190</v>
      </c>
    </row>
    <row r="76" spans="1:55" x14ac:dyDescent="0.25">
      <c r="A76" t="s">
        <v>74</v>
      </c>
      <c r="B76">
        <v>112</v>
      </c>
      <c r="C76">
        <v>532</v>
      </c>
      <c r="D76">
        <v>532</v>
      </c>
    </row>
    <row r="77" spans="1:55" x14ac:dyDescent="0.25">
      <c r="A77" t="s">
        <v>75</v>
      </c>
      <c r="B77">
        <v>274</v>
      </c>
      <c r="C77">
        <v>1387</v>
      </c>
      <c r="D77">
        <v>1387</v>
      </c>
    </row>
    <row r="78" spans="1:55" x14ac:dyDescent="0.25">
      <c r="A78" t="s">
        <v>76</v>
      </c>
      <c r="B78">
        <v>403</v>
      </c>
      <c r="C78">
        <v>1851</v>
      </c>
      <c r="D78">
        <v>1851</v>
      </c>
    </row>
    <row r="79" spans="1:55" x14ac:dyDescent="0.25">
      <c r="A79" t="s">
        <v>77</v>
      </c>
      <c r="B79">
        <v>159</v>
      </c>
      <c r="C79">
        <v>750</v>
      </c>
      <c r="D79">
        <v>750</v>
      </c>
    </row>
    <row r="80" spans="1:55" x14ac:dyDescent="0.25">
      <c r="A80" t="s">
        <v>78</v>
      </c>
      <c r="B80">
        <v>121</v>
      </c>
      <c r="C80">
        <v>594</v>
      </c>
      <c r="D80">
        <v>594</v>
      </c>
    </row>
    <row r="81" spans="1:55" x14ac:dyDescent="0.25">
      <c r="A81" t="s">
        <v>79</v>
      </c>
      <c r="B81">
        <v>92</v>
      </c>
      <c r="C81">
        <v>482</v>
      </c>
      <c r="D81">
        <v>482</v>
      </c>
    </row>
    <row r="82" spans="1:55" x14ac:dyDescent="0.25">
      <c r="A82" t="s">
        <v>80</v>
      </c>
      <c r="B82">
        <v>98</v>
      </c>
      <c r="C82">
        <v>497</v>
      </c>
      <c r="D82">
        <v>497</v>
      </c>
    </row>
    <row r="83" spans="1:55" x14ac:dyDescent="0.25">
      <c r="A83" t="s">
        <v>81</v>
      </c>
      <c r="B83">
        <v>20335</v>
      </c>
      <c r="C83">
        <v>103589</v>
      </c>
      <c r="D83">
        <v>103912</v>
      </c>
      <c r="E83">
        <v>12153</v>
      </c>
      <c r="F83">
        <v>6354</v>
      </c>
      <c r="G83">
        <v>5799</v>
      </c>
      <c r="H83">
        <f>1+12399</f>
        <v>12400</v>
      </c>
      <c r="I83">
        <v>6494</v>
      </c>
      <c r="J83">
        <f>1+5905</f>
        <v>5906</v>
      </c>
      <c r="K83">
        <f>9+12195</f>
        <v>12204</v>
      </c>
      <c r="L83">
        <f>8+6193</f>
        <v>6201</v>
      </c>
      <c r="M83">
        <f>1+6002</f>
        <v>6003</v>
      </c>
      <c r="N83">
        <f>55+11954</f>
        <v>12009</v>
      </c>
      <c r="O83">
        <f>7+6002</f>
        <v>6009</v>
      </c>
      <c r="P83">
        <f>48+5952</f>
        <v>6000</v>
      </c>
      <c r="Q83">
        <f>56+9953</f>
        <v>10009</v>
      </c>
      <c r="R83">
        <f>25+5014</f>
        <v>5039</v>
      </c>
      <c r="S83">
        <f>31+4939</f>
        <v>4970</v>
      </c>
      <c r="T83">
        <f>48+8136</f>
        <v>8184</v>
      </c>
      <c r="U83">
        <f>40+4195</f>
        <v>4235</v>
      </c>
      <c r="V83">
        <f>8+3941</f>
        <v>3949</v>
      </c>
      <c r="W83">
        <f>30+7043</f>
        <v>7073</v>
      </c>
      <c r="X83">
        <f>28+3600</f>
        <v>3628</v>
      </c>
      <c r="Y83">
        <f>2+3443</f>
        <v>3445</v>
      </c>
      <c r="Z83">
        <f>40+6282</f>
        <v>6322</v>
      </c>
      <c r="AA83">
        <f>36+3214</f>
        <v>3250</v>
      </c>
      <c r="AB83">
        <f>4+3068</f>
        <v>3072</v>
      </c>
      <c r="AC83">
        <f>37+5562</f>
        <v>5599</v>
      </c>
      <c r="AD83">
        <f>34+2853</f>
        <v>2887</v>
      </c>
      <c r="AE83">
        <f>3+2709</f>
        <v>2712</v>
      </c>
      <c r="AF83">
        <f>25+4821</f>
        <v>4846</v>
      </c>
      <c r="AG83">
        <f>23+2481</f>
        <v>2504</v>
      </c>
      <c r="AH83">
        <f>2+2340</f>
        <v>2342</v>
      </c>
      <c r="AI83">
        <f>13+3997</f>
        <v>4010</v>
      </c>
      <c r="AJ83">
        <f>12+1960</f>
        <v>1972</v>
      </c>
      <c r="AK83">
        <f>1+2037</f>
        <v>2038</v>
      </c>
      <c r="AL83">
        <f>3+3026</f>
        <v>3029</v>
      </c>
      <c r="AM83">
        <f>3+1518</f>
        <v>1521</v>
      </c>
      <c r="AN83">
        <v>1508</v>
      </c>
      <c r="AO83">
        <f>2+2102</f>
        <v>2104</v>
      </c>
      <c r="AP83">
        <f>2+1048</f>
        <v>1050</v>
      </c>
      <c r="AQ83">
        <v>1054</v>
      </c>
      <c r="AR83">
        <f>2+1423</f>
        <v>1425</v>
      </c>
      <c r="AS83">
        <v>683</v>
      </c>
      <c r="AT83">
        <f>2+740</f>
        <v>742</v>
      </c>
      <c r="AU83">
        <v>1195</v>
      </c>
      <c r="AV83">
        <v>524</v>
      </c>
      <c r="AW83">
        <v>671</v>
      </c>
      <c r="AX83">
        <f>2+650</f>
        <v>652</v>
      </c>
      <c r="AY83">
        <v>296</v>
      </c>
      <c r="AZ83">
        <f>2+354</f>
        <v>356</v>
      </c>
      <c r="BA83">
        <v>698</v>
      </c>
      <c r="BB83">
        <v>254</v>
      </c>
      <c r="BC83">
        <v>444</v>
      </c>
    </row>
    <row r="84" spans="1:55" x14ac:dyDescent="0.25">
      <c r="A84" t="s">
        <v>82</v>
      </c>
      <c r="B84">
        <v>883</v>
      </c>
      <c r="C84">
        <v>4080</v>
      </c>
      <c r="D84">
        <v>4082</v>
      </c>
    </row>
    <row r="85" spans="1:55" x14ac:dyDescent="0.25">
      <c r="A85" t="s">
        <v>83</v>
      </c>
      <c r="B85">
        <v>138</v>
      </c>
      <c r="C85">
        <v>682</v>
      </c>
      <c r="D85">
        <v>682</v>
      </c>
    </row>
    <row r="86" spans="1:55" x14ac:dyDescent="0.25">
      <c r="A86" t="s">
        <v>84</v>
      </c>
      <c r="B86">
        <v>565</v>
      </c>
      <c r="C86">
        <v>2689</v>
      </c>
      <c r="D86">
        <v>2689</v>
      </c>
    </row>
    <row r="87" spans="1:55" x14ac:dyDescent="0.25">
      <c r="A87" t="s">
        <v>85</v>
      </c>
      <c r="B87">
        <v>125</v>
      </c>
      <c r="C87">
        <v>729</v>
      </c>
      <c r="D87">
        <v>729</v>
      </c>
    </row>
    <row r="88" spans="1:55" x14ac:dyDescent="0.25">
      <c r="A88" t="s">
        <v>86</v>
      </c>
      <c r="B88">
        <v>247</v>
      </c>
      <c r="C88">
        <v>1517</v>
      </c>
      <c r="D88">
        <v>1517</v>
      </c>
    </row>
    <row r="89" spans="1:55" x14ac:dyDescent="0.25">
      <c r="A89" t="s">
        <v>87</v>
      </c>
      <c r="B89">
        <v>356</v>
      </c>
      <c r="C89">
        <v>1680</v>
      </c>
      <c r="D89">
        <v>1680</v>
      </c>
    </row>
    <row r="90" spans="1:55" x14ac:dyDescent="0.25">
      <c r="A90" t="s">
        <v>88</v>
      </c>
      <c r="B90">
        <v>231</v>
      </c>
      <c r="C90">
        <v>986</v>
      </c>
      <c r="D90">
        <v>1015</v>
      </c>
    </row>
    <row r="91" spans="1:55" x14ac:dyDescent="0.25">
      <c r="A91" t="s">
        <v>89</v>
      </c>
      <c r="B91">
        <v>3026</v>
      </c>
      <c r="C91">
        <v>15840</v>
      </c>
      <c r="D91">
        <v>15948</v>
      </c>
    </row>
    <row r="92" spans="1:55" x14ac:dyDescent="0.25">
      <c r="A92" t="s">
        <v>90</v>
      </c>
      <c r="B92">
        <v>194</v>
      </c>
      <c r="C92">
        <v>915</v>
      </c>
      <c r="D92">
        <v>915</v>
      </c>
    </row>
    <row r="93" spans="1:55" x14ac:dyDescent="0.25">
      <c r="A93" t="s">
        <v>91</v>
      </c>
      <c r="B93">
        <v>329</v>
      </c>
      <c r="C93">
        <v>1729</v>
      </c>
      <c r="D93">
        <v>1729</v>
      </c>
    </row>
    <row r="94" spans="1:55" x14ac:dyDescent="0.25">
      <c r="A94" t="s">
        <v>92</v>
      </c>
      <c r="B94">
        <v>241</v>
      </c>
      <c r="C94">
        <v>1339</v>
      </c>
      <c r="D94">
        <v>1339</v>
      </c>
    </row>
    <row r="95" spans="1:55" x14ac:dyDescent="0.25">
      <c r="A95" t="s">
        <v>93</v>
      </c>
      <c r="B95">
        <v>262</v>
      </c>
      <c r="C95">
        <v>1310</v>
      </c>
      <c r="D95">
        <v>1423</v>
      </c>
    </row>
    <row r="96" spans="1:55" x14ac:dyDescent="0.25">
      <c r="A96" t="s">
        <v>94</v>
      </c>
      <c r="B96">
        <v>1233</v>
      </c>
      <c r="C96">
        <v>6226</v>
      </c>
      <c r="D96">
        <v>6226</v>
      </c>
    </row>
    <row r="97" spans="1:4" x14ac:dyDescent="0.25">
      <c r="A97" t="s">
        <v>95</v>
      </c>
      <c r="B97">
        <v>196</v>
      </c>
      <c r="C97">
        <v>1154</v>
      </c>
      <c r="D97">
        <v>1154</v>
      </c>
    </row>
    <row r="98" spans="1:4" x14ac:dyDescent="0.25">
      <c r="A98" t="s">
        <v>96</v>
      </c>
      <c r="B98">
        <v>349</v>
      </c>
      <c r="C98">
        <v>1823</v>
      </c>
      <c r="D98">
        <v>1823</v>
      </c>
    </row>
    <row r="99" spans="1:4" x14ac:dyDescent="0.25">
      <c r="A99" t="s">
        <v>97</v>
      </c>
      <c r="B99">
        <v>151</v>
      </c>
      <c r="C99">
        <v>835</v>
      </c>
      <c r="D99">
        <v>835</v>
      </c>
    </row>
    <row r="100" spans="1:4" x14ac:dyDescent="0.25">
      <c r="A100" t="s">
        <v>98</v>
      </c>
      <c r="B100">
        <v>226</v>
      </c>
      <c r="C100">
        <v>1082</v>
      </c>
      <c r="D100">
        <v>1082</v>
      </c>
    </row>
    <row r="101" spans="1:4" x14ac:dyDescent="0.25">
      <c r="A101" t="s">
        <v>99</v>
      </c>
      <c r="B101">
        <v>713</v>
      </c>
      <c r="C101">
        <v>3636</v>
      </c>
      <c r="D101">
        <v>3636</v>
      </c>
    </row>
    <row r="102" spans="1:4" x14ac:dyDescent="0.25">
      <c r="A102" t="s">
        <v>100</v>
      </c>
      <c r="B102">
        <v>524</v>
      </c>
      <c r="C102">
        <v>2649</v>
      </c>
      <c r="D102">
        <v>2649</v>
      </c>
    </row>
    <row r="103" spans="1:4" x14ac:dyDescent="0.25">
      <c r="A103" t="s">
        <v>101</v>
      </c>
      <c r="B103">
        <v>273</v>
      </c>
      <c r="C103">
        <v>1374</v>
      </c>
      <c r="D103">
        <v>1374</v>
      </c>
    </row>
    <row r="104" spans="1:4" s="4" customFormat="1" x14ac:dyDescent="0.25">
      <c r="A104" s="4" t="s">
        <v>102</v>
      </c>
      <c r="B104" s="4">
        <v>185</v>
      </c>
      <c r="C104" s="4">
        <v>1014</v>
      </c>
      <c r="D104" s="4">
        <v>1014</v>
      </c>
    </row>
    <row r="105" spans="1:4" x14ac:dyDescent="0.25">
      <c r="A105" t="s">
        <v>103</v>
      </c>
      <c r="B105">
        <v>663</v>
      </c>
      <c r="C105">
        <v>3378</v>
      </c>
      <c r="D105">
        <v>3378</v>
      </c>
    </row>
    <row r="106" spans="1:4" x14ac:dyDescent="0.25">
      <c r="A106" t="s">
        <v>104</v>
      </c>
      <c r="B106">
        <v>87</v>
      </c>
      <c r="C106">
        <v>399</v>
      </c>
      <c r="D106">
        <v>399</v>
      </c>
    </row>
    <row r="107" spans="1:4" x14ac:dyDescent="0.25">
      <c r="A107" t="s">
        <v>105</v>
      </c>
      <c r="B107">
        <v>177</v>
      </c>
      <c r="C107">
        <v>913</v>
      </c>
      <c r="D107">
        <v>913</v>
      </c>
    </row>
    <row r="108" spans="1:4" x14ac:dyDescent="0.25">
      <c r="A108" t="s">
        <v>106</v>
      </c>
      <c r="B108">
        <v>677</v>
      </c>
      <c r="C108">
        <v>3638</v>
      </c>
      <c r="D108">
        <v>3638</v>
      </c>
    </row>
    <row r="109" spans="1:4" x14ac:dyDescent="0.25">
      <c r="A109" t="s">
        <v>107</v>
      </c>
      <c r="B109">
        <v>206</v>
      </c>
      <c r="C109">
        <v>988</v>
      </c>
      <c r="D109">
        <v>988</v>
      </c>
    </row>
    <row r="110" spans="1:4" x14ac:dyDescent="0.25">
      <c r="A110" t="s">
        <v>108</v>
      </c>
      <c r="B110">
        <v>124</v>
      </c>
      <c r="C110">
        <v>690</v>
      </c>
      <c r="D110">
        <v>690</v>
      </c>
    </row>
    <row r="111" spans="1:4" x14ac:dyDescent="0.25">
      <c r="A111" t="s">
        <v>109</v>
      </c>
      <c r="B111">
        <v>653</v>
      </c>
      <c r="C111">
        <v>3251</v>
      </c>
      <c r="D111">
        <v>3297</v>
      </c>
    </row>
    <row r="112" spans="1:4" x14ac:dyDescent="0.25">
      <c r="A112" t="s">
        <v>110</v>
      </c>
      <c r="B112">
        <v>457</v>
      </c>
      <c r="C112">
        <v>2103</v>
      </c>
      <c r="D112">
        <v>2115</v>
      </c>
    </row>
    <row r="113" spans="1:55" x14ac:dyDescent="0.25">
      <c r="A113" t="s">
        <v>111</v>
      </c>
      <c r="B113">
        <v>72</v>
      </c>
      <c r="C113">
        <v>332</v>
      </c>
      <c r="D113">
        <v>332</v>
      </c>
    </row>
    <row r="114" spans="1:55" x14ac:dyDescent="0.25">
      <c r="A114" t="s">
        <v>112</v>
      </c>
      <c r="B114">
        <v>288</v>
      </c>
      <c r="C114">
        <v>1347</v>
      </c>
      <c r="D114">
        <v>1347</v>
      </c>
    </row>
    <row r="115" spans="1:55" x14ac:dyDescent="0.25">
      <c r="A115" t="s">
        <v>113</v>
      </c>
      <c r="B115">
        <v>295</v>
      </c>
      <c r="C115">
        <v>1669</v>
      </c>
      <c r="D115">
        <v>1669</v>
      </c>
    </row>
    <row r="116" spans="1:55" x14ac:dyDescent="0.25">
      <c r="A116" t="s">
        <v>114</v>
      </c>
      <c r="B116">
        <v>923</v>
      </c>
      <c r="C116">
        <v>5057</v>
      </c>
      <c r="D116">
        <v>5057</v>
      </c>
    </row>
    <row r="117" spans="1:55" x14ac:dyDescent="0.25">
      <c r="A117" t="s">
        <v>115</v>
      </c>
      <c r="B117">
        <v>603</v>
      </c>
      <c r="C117">
        <v>2806</v>
      </c>
      <c r="D117">
        <v>2806</v>
      </c>
    </row>
    <row r="118" spans="1:55" x14ac:dyDescent="0.25">
      <c r="A118" t="s">
        <v>116</v>
      </c>
      <c r="B118">
        <v>501</v>
      </c>
      <c r="C118">
        <v>2785</v>
      </c>
      <c r="D118">
        <v>2785</v>
      </c>
    </row>
    <row r="119" spans="1:55" x14ac:dyDescent="0.25">
      <c r="A119" t="s">
        <v>117</v>
      </c>
      <c r="B119">
        <v>836</v>
      </c>
      <c r="C119">
        <v>3985</v>
      </c>
      <c r="D119">
        <v>3985</v>
      </c>
    </row>
    <row r="120" spans="1:55" x14ac:dyDescent="0.25">
      <c r="A120" t="s">
        <v>118</v>
      </c>
      <c r="B120">
        <v>775</v>
      </c>
      <c r="C120">
        <v>3757</v>
      </c>
      <c r="D120">
        <v>3757</v>
      </c>
    </row>
    <row r="121" spans="1:55" x14ac:dyDescent="0.25">
      <c r="A121" t="s">
        <v>119</v>
      </c>
      <c r="B121">
        <v>303</v>
      </c>
      <c r="C121">
        <v>1765</v>
      </c>
      <c r="D121">
        <v>1765</v>
      </c>
    </row>
    <row r="122" spans="1:55" x14ac:dyDescent="0.25">
      <c r="A122" t="s">
        <v>120</v>
      </c>
      <c r="B122">
        <v>231</v>
      </c>
      <c r="C122">
        <v>1301</v>
      </c>
      <c r="D122">
        <v>1301</v>
      </c>
    </row>
    <row r="123" spans="1:55" x14ac:dyDescent="0.25">
      <c r="A123" t="s">
        <v>121</v>
      </c>
      <c r="B123">
        <v>245</v>
      </c>
      <c r="C123">
        <v>1184</v>
      </c>
      <c r="D123">
        <v>1184</v>
      </c>
    </row>
    <row r="124" spans="1:55" x14ac:dyDescent="0.25">
      <c r="A124" t="s">
        <v>122</v>
      </c>
      <c r="B124">
        <v>1264</v>
      </c>
      <c r="C124">
        <v>6346</v>
      </c>
      <c r="D124">
        <v>6359</v>
      </c>
    </row>
    <row r="125" spans="1:55" x14ac:dyDescent="0.25">
      <c r="A125" t="s">
        <v>123</v>
      </c>
      <c r="B125">
        <v>508</v>
      </c>
      <c r="C125">
        <v>2606</v>
      </c>
      <c r="D125">
        <v>2606</v>
      </c>
    </row>
    <row r="126" spans="1:55" x14ac:dyDescent="0.25">
      <c r="A126" t="s">
        <v>124</v>
      </c>
      <c r="B126">
        <v>1414</v>
      </c>
      <c r="C126">
        <v>8514</v>
      </c>
      <c r="D126">
        <v>8529</v>
      </c>
      <c r="E126">
        <v>944</v>
      </c>
      <c r="F126">
        <v>515</v>
      </c>
      <c r="G126">
        <v>429</v>
      </c>
      <c r="H126">
        <v>1051</v>
      </c>
      <c r="I126">
        <v>556</v>
      </c>
      <c r="J126">
        <v>495</v>
      </c>
      <c r="K126">
        <v>1101</v>
      </c>
      <c r="L126">
        <v>590</v>
      </c>
      <c r="M126">
        <v>511</v>
      </c>
      <c r="N126">
        <v>1075</v>
      </c>
      <c r="O126">
        <v>537</v>
      </c>
      <c r="P126">
        <v>538</v>
      </c>
      <c r="Q126">
        <v>826</v>
      </c>
      <c r="R126">
        <v>453</v>
      </c>
      <c r="S126">
        <v>373</v>
      </c>
      <c r="T126">
        <v>596</v>
      </c>
      <c r="U126">
        <v>336</v>
      </c>
      <c r="V126">
        <v>260</v>
      </c>
      <c r="W126">
        <f>5+488</f>
        <v>493</v>
      </c>
      <c r="X126">
        <f>5+269</f>
        <v>274</v>
      </c>
      <c r="Y126">
        <v>219</v>
      </c>
      <c r="Z126">
        <f>5+384</f>
        <v>389</v>
      </c>
      <c r="AA126">
        <f>5+204</f>
        <v>209</v>
      </c>
      <c r="AB126">
        <v>180</v>
      </c>
      <c r="AC126">
        <f>5+469</f>
        <v>474</v>
      </c>
      <c r="AD126">
        <f>5+245</f>
        <v>250</v>
      </c>
      <c r="AE126">
        <v>224</v>
      </c>
      <c r="AF126">
        <v>382</v>
      </c>
      <c r="AG126">
        <v>190</v>
      </c>
      <c r="AH126">
        <v>192</v>
      </c>
      <c r="AI126">
        <v>336</v>
      </c>
      <c r="AJ126">
        <v>160</v>
      </c>
      <c r="AK126">
        <v>176</v>
      </c>
      <c r="AL126">
        <v>234</v>
      </c>
      <c r="AM126">
        <v>120</v>
      </c>
      <c r="AN126">
        <v>114</v>
      </c>
      <c r="AO126">
        <v>220</v>
      </c>
      <c r="AP126">
        <v>107</v>
      </c>
      <c r="AQ126">
        <v>113</v>
      </c>
      <c r="AR126">
        <v>155</v>
      </c>
      <c r="AS126">
        <v>82</v>
      </c>
      <c r="AT126">
        <v>73</v>
      </c>
      <c r="AU126">
        <v>121</v>
      </c>
      <c r="AV126">
        <v>68</v>
      </c>
      <c r="AW126">
        <v>53</v>
      </c>
      <c r="AX126">
        <v>78</v>
      </c>
      <c r="AY126">
        <v>39</v>
      </c>
      <c r="AZ126">
        <v>39</v>
      </c>
      <c r="BA126">
        <v>54</v>
      </c>
      <c r="BB126">
        <v>27</v>
      </c>
      <c r="BC126">
        <v>27</v>
      </c>
    </row>
    <row r="127" spans="1:55" x14ac:dyDescent="0.25">
      <c r="A127" t="s">
        <v>125</v>
      </c>
      <c r="B127">
        <v>55</v>
      </c>
      <c r="C127">
        <v>320</v>
      </c>
      <c r="D127">
        <v>320</v>
      </c>
    </row>
    <row r="128" spans="1:55" x14ac:dyDescent="0.25">
      <c r="A128" t="s">
        <v>126</v>
      </c>
      <c r="B128">
        <v>60</v>
      </c>
      <c r="C128">
        <v>367</v>
      </c>
      <c r="D128">
        <v>367</v>
      </c>
    </row>
    <row r="129" spans="1:55" x14ac:dyDescent="0.25">
      <c r="A129" t="s">
        <v>127</v>
      </c>
      <c r="B129">
        <v>72</v>
      </c>
      <c r="C129">
        <v>401</v>
      </c>
      <c r="D129">
        <v>401</v>
      </c>
    </row>
    <row r="130" spans="1:55" x14ac:dyDescent="0.25">
      <c r="A130" t="s">
        <v>128</v>
      </c>
      <c r="B130">
        <v>89</v>
      </c>
      <c r="C130">
        <v>559</v>
      </c>
      <c r="D130">
        <v>559</v>
      </c>
    </row>
    <row r="131" spans="1:55" x14ac:dyDescent="0.25">
      <c r="A131" t="s">
        <v>129</v>
      </c>
      <c r="B131">
        <v>41</v>
      </c>
      <c r="C131">
        <v>301</v>
      </c>
      <c r="D131">
        <v>301</v>
      </c>
    </row>
    <row r="132" spans="1:55" x14ac:dyDescent="0.25">
      <c r="A132" t="s">
        <v>130</v>
      </c>
      <c r="B132">
        <v>64</v>
      </c>
      <c r="C132">
        <v>318</v>
      </c>
      <c r="D132">
        <v>318</v>
      </c>
    </row>
    <row r="133" spans="1:55" x14ac:dyDescent="0.25">
      <c r="A133" t="s">
        <v>131</v>
      </c>
      <c r="B133">
        <v>119</v>
      </c>
      <c r="C133">
        <v>632</v>
      </c>
      <c r="D133">
        <v>632</v>
      </c>
    </row>
    <row r="134" spans="1:55" x14ac:dyDescent="0.25">
      <c r="A134" t="s">
        <v>132</v>
      </c>
      <c r="B134">
        <v>92</v>
      </c>
      <c r="C134">
        <v>522</v>
      </c>
      <c r="D134">
        <v>522</v>
      </c>
    </row>
    <row r="135" spans="1:55" x14ac:dyDescent="0.25">
      <c r="A135" t="s">
        <v>10</v>
      </c>
      <c r="B135">
        <v>135</v>
      </c>
      <c r="C135">
        <v>801</v>
      </c>
      <c r="D135">
        <v>801</v>
      </c>
    </row>
    <row r="136" spans="1:55" x14ac:dyDescent="0.25">
      <c r="A136" t="s">
        <v>133</v>
      </c>
      <c r="B136">
        <v>130</v>
      </c>
      <c r="C136">
        <v>801</v>
      </c>
      <c r="D136">
        <v>801</v>
      </c>
    </row>
    <row r="137" spans="1:55" x14ac:dyDescent="0.25">
      <c r="A137" t="s">
        <v>21</v>
      </c>
      <c r="B137">
        <v>78</v>
      </c>
      <c r="C137">
        <v>485</v>
      </c>
      <c r="D137">
        <v>485</v>
      </c>
    </row>
    <row r="138" spans="1:55" x14ac:dyDescent="0.25">
      <c r="A138" t="s">
        <v>134</v>
      </c>
      <c r="B138">
        <v>60</v>
      </c>
      <c r="C138">
        <v>355</v>
      </c>
      <c r="D138">
        <v>370</v>
      </c>
    </row>
    <row r="139" spans="1:55" x14ac:dyDescent="0.25">
      <c r="A139" t="s">
        <v>135</v>
      </c>
      <c r="B139">
        <v>40</v>
      </c>
      <c r="C139">
        <v>224</v>
      </c>
      <c r="D139">
        <v>224</v>
      </c>
    </row>
    <row r="140" spans="1:55" x14ac:dyDescent="0.25">
      <c r="A140" t="s">
        <v>136</v>
      </c>
      <c r="B140">
        <v>216</v>
      </c>
      <c r="C140">
        <v>1405</v>
      </c>
      <c r="D140">
        <v>1405</v>
      </c>
    </row>
    <row r="141" spans="1:55" x14ac:dyDescent="0.25">
      <c r="A141" t="s">
        <v>137</v>
      </c>
      <c r="B141">
        <v>99</v>
      </c>
      <c r="C141">
        <v>614</v>
      </c>
      <c r="D141">
        <v>614</v>
      </c>
    </row>
    <row r="142" spans="1:55" x14ac:dyDescent="0.25">
      <c r="A142" t="s">
        <v>138</v>
      </c>
      <c r="B142">
        <v>64</v>
      </c>
      <c r="C142">
        <v>409</v>
      </c>
      <c r="D142">
        <v>409</v>
      </c>
    </row>
    <row r="143" spans="1:55" x14ac:dyDescent="0.25">
      <c r="A143" t="s">
        <v>139</v>
      </c>
      <c r="B143">
        <v>2305</v>
      </c>
      <c r="C143">
        <v>12557</v>
      </c>
      <c r="D143">
        <v>12557</v>
      </c>
      <c r="E143">
        <v>1452</v>
      </c>
      <c r="F143">
        <v>783</v>
      </c>
      <c r="G143">
        <v>669</v>
      </c>
      <c r="H143">
        <v>1609</v>
      </c>
      <c r="I143">
        <v>863</v>
      </c>
      <c r="J143">
        <v>746</v>
      </c>
      <c r="K143">
        <v>1545</v>
      </c>
      <c r="L143">
        <v>796</v>
      </c>
      <c r="M143">
        <v>749</v>
      </c>
      <c r="N143">
        <v>1527</v>
      </c>
      <c r="O143">
        <v>783</v>
      </c>
      <c r="P143">
        <v>744</v>
      </c>
      <c r="Q143">
        <v>1245</v>
      </c>
      <c r="R143">
        <v>657</v>
      </c>
      <c r="S143">
        <v>588</v>
      </c>
      <c r="T143">
        <v>920</v>
      </c>
      <c r="U143">
        <v>496</v>
      </c>
      <c r="V143">
        <v>424</v>
      </c>
      <c r="W143">
        <v>766</v>
      </c>
      <c r="X143">
        <v>394</v>
      </c>
      <c r="Y143">
        <v>372</v>
      </c>
      <c r="Z143">
        <v>671</v>
      </c>
      <c r="AA143">
        <v>337</v>
      </c>
      <c r="AB143">
        <v>334</v>
      </c>
      <c r="AC143">
        <v>551</v>
      </c>
      <c r="AD143">
        <v>262</v>
      </c>
      <c r="AE143">
        <v>289</v>
      </c>
      <c r="AF143">
        <v>457</v>
      </c>
      <c r="AG143">
        <v>221</v>
      </c>
      <c r="AH143">
        <v>236</v>
      </c>
      <c r="AI143">
        <v>494</v>
      </c>
      <c r="AJ143">
        <v>238</v>
      </c>
      <c r="AK143">
        <v>256</v>
      </c>
      <c r="AL143">
        <v>399</v>
      </c>
      <c r="AM143">
        <v>200</v>
      </c>
      <c r="AN143">
        <v>199</v>
      </c>
      <c r="AO143">
        <v>317</v>
      </c>
      <c r="AP143">
        <v>158</v>
      </c>
      <c r="AQ143">
        <v>159</v>
      </c>
      <c r="AR143">
        <v>225</v>
      </c>
      <c r="AS143">
        <v>105</v>
      </c>
      <c r="AT143">
        <v>120</v>
      </c>
      <c r="AU143">
        <v>181</v>
      </c>
      <c r="AV143">
        <v>88</v>
      </c>
      <c r="AW143">
        <v>93</v>
      </c>
      <c r="AX143">
        <v>130</v>
      </c>
      <c r="AY143">
        <v>74</v>
      </c>
      <c r="AZ143">
        <v>56</v>
      </c>
      <c r="BA143">
        <v>68</v>
      </c>
      <c r="BB143">
        <v>30</v>
      </c>
      <c r="BC143">
        <v>38</v>
      </c>
    </row>
    <row r="144" spans="1:55" x14ac:dyDescent="0.25">
      <c r="A144" t="s">
        <v>140</v>
      </c>
      <c r="B144">
        <v>62</v>
      </c>
      <c r="C144">
        <v>434</v>
      </c>
      <c r="D144">
        <v>434</v>
      </c>
    </row>
    <row r="145" spans="1:4" x14ac:dyDescent="0.25">
      <c r="A145" t="s">
        <v>141</v>
      </c>
      <c r="B145">
        <v>110</v>
      </c>
      <c r="C145">
        <v>610</v>
      </c>
      <c r="D145">
        <v>610</v>
      </c>
    </row>
    <row r="146" spans="1:4" x14ac:dyDescent="0.25">
      <c r="A146" t="s">
        <v>142</v>
      </c>
      <c r="B146">
        <v>231</v>
      </c>
      <c r="C146">
        <v>1196</v>
      </c>
      <c r="D146">
        <v>1196</v>
      </c>
    </row>
    <row r="147" spans="1:4" x14ac:dyDescent="0.25">
      <c r="A147" t="s">
        <v>143</v>
      </c>
      <c r="B147">
        <v>75</v>
      </c>
      <c r="C147">
        <v>469</v>
      </c>
      <c r="D147">
        <v>469</v>
      </c>
    </row>
    <row r="148" spans="1:4" x14ac:dyDescent="0.25">
      <c r="A148" t="s">
        <v>144</v>
      </c>
      <c r="B148">
        <v>119</v>
      </c>
      <c r="C148">
        <v>580</v>
      </c>
      <c r="D148">
        <v>580</v>
      </c>
    </row>
    <row r="149" spans="1:4" x14ac:dyDescent="0.25">
      <c r="A149" t="s">
        <v>145</v>
      </c>
      <c r="B149">
        <v>190</v>
      </c>
      <c r="C149">
        <v>992</v>
      </c>
      <c r="D149">
        <v>992</v>
      </c>
    </row>
    <row r="150" spans="1:4" x14ac:dyDescent="0.25">
      <c r="A150" t="s">
        <v>146</v>
      </c>
      <c r="B150">
        <v>123</v>
      </c>
      <c r="C150">
        <v>703</v>
      </c>
      <c r="D150">
        <v>703</v>
      </c>
    </row>
    <row r="151" spans="1:4" x14ac:dyDescent="0.25">
      <c r="A151" t="s">
        <v>147</v>
      </c>
      <c r="B151">
        <v>118</v>
      </c>
      <c r="C151">
        <v>719</v>
      </c>
      <c r="D151">
        <v>719</v>
      </c>
    </row>
    <row r="152" spans="1:4" x14ac:dyDescent="0.25">
      <c r="A152" t="s">
        <v>148</v>
      </c>
      <c r="B152">
        <v>84</v>
      </c>
      <c r="C152">
        <v>495</v>
      </c>
      <c r="D152">
        <v>495</v>
      </c>
    </row>
    <row r="153" spans="1:4" x14ac:dyDescent="0.25">
      <c r="A153" t="s">
        <v>149</v>
      </c>
      <c r="B153">
        <v>96</v>
      </c>
      <c r="C153">
        <v>521</v>
      </c>
      <c r="D153">
        <v>521</v>
      </c>
    </row>
    <row r="154" spans="1:4" x14ac:dyDescent="0.25">
      <c r="A154" t="s">
        <v>150</v>
      </c>
      <c r="B154">
        <v>146</v>
      </c>
      <c r="C154">
        <v>799</v>
      </c>
      <c r="D154">
        <v>799</v>
      </c>
    </row>
    <row r="155" spans="1:4" x14ac:dyDescent="0.25">
      <c r="A155" t="s">
        <v>21</v>
      </c>
      <c r="B155">
        <v>169</v>
      </c>
      <c r="C155">
        <v>833</v>
      </c>
      <c r="D155">
        <v>833</v>
      </c>
    </row>
    <row r="156" spans="1:4" x14ac:dyDescent="0.25">
      <c r="A156" t="s">
        <v>151</v>
      </c>
      <c r="B156">
        <v>114</v>
      </c>
      <c r="C156">
        <v>551</v>
      </c>
      <c r="D156">
        <v>551</v>
      </c>
    </row>
    <row r="157" spans="1:4" x14ac:dyDescent="0.25">
      <c r="A157" t="s">
        <v>152</v>
      </c>
      <c r="B157">
        <v>103</v>
      </c>
      <c r="C157">
        <v>535</v>
      </c>
      <c r="D157">
        <v>535</v>
      </c>
    </row>
    <row r="158" spans="1:4" x14ac:dyDescent="0.25">
      <c r="A158" t="s">
        <v>153</v>
      </c>
      <c r="B158">
        <v>94</v>
      </c>
      <c r="C158">
        <v>535</v>
      </c>
      <c r="D158">
        <v>535</v>
      </c>
    </row>
    <row r="159" spans="1:4" x14ac:dyDescent="0.25">
      <c r="A159" t="s">
        <v>154</v>
      </c>
      <c r="B159">
        <v>94</v>
      </c>
      <c r="C159">
        <v>556</v>
      </c>
      <c r="D159">
        <v>556</v>
      </c>
    </row>
    <row r="160" spans="1:4" x14ac:dyDescent="0.25">
      <c r="A160" t="s">
        <v>155</v>
      </c>
      <c r="B160">
        <v>108</v>
      </c>
      <c r="C160">
        <v>556</v>
      </c>
      <c r="D160">
        <v>556</v>
      </c>
    </row>
    <row r="161" spans="1:4" x14ac:dyDescent="0.25">
      <c r="A161" t="s">
        <v>156</v>
      </c>
      <c r="B161">
        <v>48</v>
      </c>
      <c r="C161">
        <v>288</v>
      </c>
      <c r="D161">
        <v>288</v>
      </c>
    </row>
    <row r="162" spans="1:4" x14ac:dyDescent="0.25">
      <c r="A162" t="s">
        <v>157</v>
      </c>
      <c r="B162">
        <v>51</v>
      </c>
      <c r="C162">
        <v>306</v>
      </c>
      <c r="D162">
        <v>306</v>
      </c>
    </row>
    <row r="163" spans="1:4" x14ac:dyDescent="0.25">
      <c r="A163" t="s">
        <v>158</v>
      </c>
      <c r="B163">
        <v>170</v>
      </c>
      <c r="C163">
        <v>879</v>
      </c>
      <c r="D163">
        <v>879</v>
      </c>
    </row>
  </sheetData>
  <mergeCells count="17">
    <mergeCell ref="AO1:AQ1"/>
    <mergeCell ref="AR1:AT1"/>
    <mergeCell ref="AU1:AW1"/>
    <mergeCell ref="AX1:AZ1"/>
    <mergeCell ref="BA1:BC1"/>
    <mergeCell ref="W1:Y1"/>
    <mergeCell ref="Z1:AB1"/>
    <mergeCell ref="AC1:AE1"/>
    <mergeCell ref="AF1:AH1"/>
    <mergeCell ref="AI1:AK1"/>
    <mergeCell ref="AL1:AN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0789-8F78-4A10-AEFC-4444D6D5850E}">
  <dimension ref="A1:BC163"/>
  <sheetViews>
    <sheetView zoomScaleNormal="100" workbookViewId="0">
      <pane ySplit="2" topLeftCell="A126" activePane="bottomLeft" state="frozen"/>
      <selection pane="bottomLeft" activeCell="E2" sqref="E1:E1048576"/>
    </sheetView>
  </sheetViews>
  <sheetFormatPr defaultRowHeight="15" x14ac:dyDescent="0.25"/>
  <cols>
    <col min="1" max="1" width="41.42578125" bestFit="1" customWidth="1"/>
    <col min="2" max="2" width="9.85546875" bestFit="1" customWidth="1"/>
    <col min="3" max="3" width="13.85546875" bestFit="1" customWidth="1"/>
    <col min="4" max="4" width="15.7109375" bestFit="1" customWidth="1"/>
  </cols>
  <sheetData>
    <row r="1" spans="1:55" x14ac:dyDescent="0.25">
      <c r="E1" s="3" t="s">
        <v>164</v>
      </c>
      <c r="F1" s="3"/>
      <c r="G1" s="3"/>
      <c r="H1" s="2" t="s">
        <v>499</v>
      </c>
      <c r="I1" s="2"/>
      <c r="J1" s="2"/>
      <c r="K1" s="2" t="s">
        <v>500</v>
      </c>
      <c r="L1" s="2"/>
      <c r="M1" s="2"/>
      <c r="N1" s="2" t="s">
        <v>165</v>
      </c>
      <c r="O1" s="2"/>
      <c r="P1" s="2"/>
      <c r="Q1" s="2" t="s">
        <v>166</v>
      </c>
      <c r="R1" s="2"/>
      <c r="S1" s="2"/>
      <c r="T1" s="2" t="s">
        <v>167</v>
      </c>
      <c r="U1" s="2"/>
      <c r="V1" s="2"/>
      <c r="W1" s="2" t="s">
        <v>168</v>
      </c>
      <c r="X1" s="2"/>
      <c r="Y1" s="2"/>
      <c r="Z1" s="2" t="s">
        <v>169</v>
      </c>
      <c r="AA1" s="2"/>
      <c r="AB1" s="2"/>
      <c r="AC1" s="2" t="s">
        <v>170</v>
      </c>
      <c r="AD1" s="2"/>
      <c r="AE1" s="2"/>
      <c r="AF1" s="2" t="s">
        <v>171</v>
      </c>
      <c r="AG1" s="2"/>
      <c r="AH1" s="2"/>
      <c r="AI1" s="2" t="s">
        <v>172</v>
      </c>
      <c r="AJ1" s="2"/>
      <c r="AK1" s="2"/>
      <c r="AL1" s="2" t="s">
        <v>173</v>
      </c>
      <c r="AM1" s="2"/>
      <c r="AN1" s="2"/>
      <c r="AO1" s="2" t="s">
        <v>174</v>
      </c>
      <c r="AP1" s="2"/>
      <c r="AQ1" s="2"/>
      <c r="AR1" s="2" t="s">
        <v>175</v>
      </c>
      <c r="AS1" s="2"/>
      <c r="AT1" s="2"/>
      <c r="AU1" s="2" t="s">
        <v>176</v>
      </c>
      <c r="AV1" s="2"/>
      <c r="AW1" s="2"/>
      <c r="AX1" s="2" t="s">
        <v>177</v>
      </c>
      <c r="AY1" s="2"/>
      <c r="AZ1" s="2"/>
      <c r="BA1" s="2" t="s">
        <v>178</v>
      </c>
      <c r="BB1" s="2"/>
      <c r="BC1" s="2"/>
    </row>
    <row r="2" spans="1:55" x14ac:dyDescent="0.25">
      <c r="B2" t="s">
        <v>159</v>
      </c>
      <c r="C2" t="s">
        <v>160</v>
      </c>
      <c r="D2" t="s">
        <v>161</v>
      </c>
      <c r="E2" t="s">
        <v>498</v>
      </c>
      <c r="F2" t="s">
        <v>162</v>
      </c>
      <c r="G2" t="s">
        <v>163</v>
      </c>
      <c r="H2" t="s">
        <v>498</v>
      </c>
      <c r="I2" t="s">
        <v>162</v>
      </c>
      <c r="J2" t="s">
        <v>163</v>
      </c>
      <c r="K2" t="s">
        <v>498</v>
      </c>
      <c r="L2" t="s">
        <v>162</v>
      </c>
      <c r="M2" t="s">
        <v>163</v>
      </c>
      <c r="N2" t="s">
        <v>498</v>
      </c>
      <c r="O2" t="s">
        <v>162</v>
      </c>
      <c r="P2" t="s">
        <v>163</v>
      </c>
      <c r="Q2" t="s">
        <v>498</v>
      </c>
      <c r="R2" t="s">
        <v>162</v>
      </c>
      <c r="S2" t="s">
        <v>163</v>
      </c>
      <c r="T2" t="s">
        <v>498</v>
      </c>
      <c r="U2" t="s">
        <v>162</v>
      </c>
      <c r="V2" t="s">
        <v>163</v>
      </c>
      <c r="W2" t="s">
        <v>498</v>
      </c>
      <c r="X2" t="s">
        <v>162</v>
      </c>
      <c r="Y2" t="s">
        <v>163</v>
      </c>
      <c r="Z2" t="s">
        <v>498</v>
      </c>
      <c r="AA2" t="s">
        <v>162</v>
      </c>
      <c r="AB2" t="s">
        <v>163</v>
      </c>
      <c r="AC2" t="s">
        <v>498</v>
      </c>
      <c r="AD2" t="s">
        <v>162</v>
      </c>
      <c r="AE2" t="s">
        <v>163</v>
      </c>
      <c r="AF2" t="s">
        <v>498</v>
      </c>
      <c r="AG2" t="s">
        <v>162</v>
      </c>
      <c r="AH2" t="s">
        <v>163</v>
      </c>
      <c r="AI2" t="s">
        <v>498</v>
      </c>
      <c r="AJ2" t="s">
        <v>162</v>
      </c>
      <c r="AK2" t="s">
        <v>163</v>
      </c>
      <c r="AL2" t="s">
        <v>498</v>
      </c>
      <c r="AM2" t="s">
        <v>162</v>
      </c>
      <c r="AN2" t="s">
        <v>163</v>
      </c>
      <c r="AO2" t="s">
        <v>498</v>
      </c>
      <c r="AP2" t="s">
        <v>162</v>
      </c>
      <c r="AQ2" t="s">
        <v>163</v>
      </c>
      <c r="AR2" t="s">
        <v>498</v>
      </c>
      <c r="AS2" t="s">
        <v>162</v>
      </c>
      <c r="AT2" t="s">
        <v>163</v>
      </c>
      <c r="AU2" t="s">
        <v>498</v>
      </c>
      <c r="AV2" t="s">
        <v>162</v>
      </c>
      <c r="AW2" t="s">
        <v>163</v>
      </c>
      <c r="AX2" t="s">
        <v>498</v>
      </c>
      <c r="AY2" t="s">
        <v>162</v>
      </c>
      <c r="AZ2" t="s">
        <v>163</v>
      </c>
      <c r="BA2" t="s">
        <v>498</v>
      </c>
      <c r="BB2" t="s">
        <v>162</v>
      </c>
      <c r="BC2" t="s">
        <v>163</v>
      </c>
    </row>
    <row r="3" spans="1:55" x14ac:dyDescent="0.25">
      <c r="A3" t="s">
        <v>1</v>
      </c>
      <c r="B3">
        <v>42115</v>
      </c>
      <c r="C3">
        <v>212003</v>
      </c>
      <c r="D3">
        <v>212680</v>
      </c>
      <c r="E3">
        <v>23198</v>
      </c>
      <c r="F3">
        <v>12058</v>
      </c>
      <c r="G3">
        <v>11140</v>
      </c>
      <c r="H3">
        <v>24036</v>
      </c>
      <c r="I3">
        <v>12585</v>
      </c>
      <c r="J3">
        <v>11451</v>
      </c>
      <c r="K3">
        <v>23745</v>
      </c>
      <c r="L3">
        <v>12313</v>
      </c>
      <c r="M3">
        <v>11432</v>
      </c>
      <c r="N3">
        <v>22415</v>
      </c>
      <c r="O3">
        <v>11735</v>
      </c>
      <c r="P3">
        <v>10680</v>
      </c>
      <c r="Q3">
        <v>20120</v>
      </c>
      <c r="R3">
        <v>10395</v>
      </c>
      <c r="S3">
        <v>9725</v>
      </c>
      <c r="T3">
        <v>17474</v>
      </c>
      <c r="U3">
        <v>9246</v>
      </c>
      <c r="V3">
        <v>8228</v>
      </c>
      <c r="W3">
        <v>14243</v>
      </c>
      <c r="X3">
        <v>7557</v>
      </c>
      <c r="Y3">
        <v>6686</v>
      </c>
      <c r="Z3">
        <v>12811</v>
      </c>
      <c r="AA3">
        <v>6710</v>
      </c>
      <c r="AB3">
        <v>6101</v>
      </c>
      <c r="AC3">
        <v>11216</v>
      </c>
      <c r="AD3">
        <v>5862</v>
      </c>
      <c r="AE3">
        <v>5354</v>
      </c>
      <c r="AF3">
        <v>10136</v>
      </c>
      <c r="AG3">
        <v>5201</v>
      </c>
      <c r="AH3">
        <v>4935</v>
      </c>
      <c r="AI3">
        <v>8782</v>
      </c>
      <c r="AJ3">
        <v>4556</v>
      </c>
      <c r="AK3">
        <v>4226</v>
      </c>
      <c r="AL3">
        <v>7442</v>
      </c>
      <c r="AM3">
        <v>3693</v>
      </c>
      <c r="AN3">
        <v>3749</v>
      </c>
      <c r="AO3">
        <v>5527</v>
      </c>
      <c r="AP3">
        <v>2826</v>
      </c>
      <c r="AQ3">
        <v>2701</v>
      </c>
      <c r="AR3">
        <v>3941</v>
      </c>
      <c r="AS3">
        <v>1873</v>
      </c>
      <c r="AT3">
        <v>2068</v>
      </c>
      <c r="AU3">
        <v>2853</v>
      </c>
      <c r="AV3">
        <v>1313</v>
      </c>
      <c r="AW3">
        <v>1540</v>
      </c>
      <c r="AX3">
        <v>2020</v>
      </c>
      <c r="AY3">
        <v>883</v>
      </c>
      <c r="AZ3">
        <v>1137</v>
      </c>
      <c r="BA3">
        <v>2044</v>
      </c>
      <c r="BB3">
        <v>856</v>
      </c>
      <c r="BC3">
        <v>1188</v>
      </c>
    </row>
    <row r="4" spans="1:55" x14ac:dyDescent="0.25">
      <c r="A4" t="s">
        <v>2</v>
      </c>
      <c r="B4">
        <v>2302</v>
      </c>
      <c r="C4">
        <v>12154</v>
      </c>
      <c r="D4">
        <v>12195</v>
      </c>
      <c r="E4">
        <f>1+1177</f>
        <v>1178</v>
      </c>
      <c r="F4">
        <v>572</v>
      </c>
      <c r="G4">
        <f>1+605</f>
        <v>606</v>
      </c>
      <c r="H4">
        <f>1+1292</f>
        <v>1293</v>
      </c>
      <c r="I4">
        <f>1+682</f>
        <v>683</v>
      </c>
      <c r="J4">
        <v>610</v>
      </c>
      <c r="K4">
        <f>5+1255</f>
        <v>1260</v>
      </c>
      <c r="L4">
        <f>3+669</f>
        <v>672</v>
      </c>
      <c r="M4">
        <f>2+586</f>
        <v>588</v>
      </c>
      <c r="N4">
        <f>3+979</f>
        <v>982</v>
      </c>
      <c r="O4">
        <f>1+577</f>
        <v>578</v>
      </c>
      <c r="P4">
        <f>2+402</f>
        <v>404</v>
      </c>
      <c r="Q4">
        <f>2+964</f>
        <v>966</v>
      </c>
      <c r="R4">
        <f>1+544</f>
        <v>545</v>
      </c>
      <c r="S4">
        <f>1+420</f>
        <v>421</v>
      </c>
      <c r="T4">
        <f>6+976</f>
        <v>982</v>
      </c>
      <c r="U4">
        <f>5+571</f>
        <v>576</v>
      </c>
      <c r="V4">
        <f>1+405</f>
        <v>406</v>
      </c>
      <c r="W4">
        <f>3+784</f>
        <v>787</v>
      </c>
      <c r="X4">
        <f>2+463</f>
        <v>465</v>
      </c>
      <c r="Y4">
        <f>1+321</f>
        <v>322</v>
      </c>
      <c r="Z4">
        <f>7+742</f>
        <v>749</v>
      </c>
      <c r="AA4">
        <f>7+435</f>
        <v>442</v>
      </c>
      <c r="AB4">
        <v>307</v>
      </c>
      <c r="AC4">
        <f>7+678</f>
        <v>685</v>
      </c>
      <c r="AD4">
        <f>5+385</f>
        <v>390</v>
      </c>
      <c r="AE4">
        <f>2+293</f>
        <v>295</v>
      </c>
      <c r="AF4">
        <f>4+657</f>
        <v>661</v>
      </c>
      <c r="AG4">
        <f>1+356</f>
        <v>357</v>
      </c>
      <c r="AH4">
        <f>3+301</f>
        <v>304</v>
      </c>
      <c r="AI4">
        <f>1+708</f>
        <v>709</v>
      </c>
      <c r="AJ4">
        <f>1+380</f>
        <v>381</v>
      </c>
      <c r="AK4">
        <v>328</v>
      </c>
      <c r="AL4">
        <v>534</v>
      </c>
      <c r="AM4">
        <v>298</v>
      </c>
      <c r="AN4">
        <v>236</v>
      </c>
      <c r="AO4">
        <f>1+407</f>
        <v>408</v>
      </c>
      <c r="AP4">
        <v>218</v>
      </c>
      <c r="AQ4">
        <f>1+189</f>
        <v>190</v>
      </c>
      <c r="AR4">
        <v>315</v>
      </c>
      <c r="AS4">
        <v>145</v>
      </c>
      <c r="AT4">
        <v>170</v>
      </c>
      <c r="AU4">
        <v>299</v>
      </c>
      <c r="AV4">
        <v>128</v>
      </c>
      <c r="AW4">
        <v>171</v>
      </c>
      <c r="AX4">
        <v>189</v>
      </c>
      <c r="AY4">
        <v>89</v>
      </c>
      <c r="AZ4">
        <v>100</v>
      </c>
      <c r="BA4">
        <v>198</v>
      </c>
      <c r="BB4">
        <v>102</v>
      </c>
      <c r="BC4">
        <v>96</v>
      </c>
    </row>
    <row r="5" spans="1:55" x14ac:dyDescent="0.25">
      <c r="A5" t="s">
        <v>3</v>
      </c>
      <c r="B5">
        <v>82</v>
      </c>
      <c r="C5">
        <v>444</v>
      </c>
      <c r="D5">
        <v>444</v>
      </c>
    </row>
    <row r="6" spans="1:55" x14ac:dyDescent="0.25">
      <c r="A6" t="s">
        <v>4</v>
      </c>
      <c r="B6">
        <v>286</v>
      </c>
      <c r="C6">
        <v>1508</v>
      </c>
      <c r="D6">
        <v>1508</v>
      </c>
    </row>
    <row r="7" spans="1:55" x14ac:dyDescent="0.25">
      <c r="A7" t="s">
        <v>5</v>
      </c>
      <c r="B7">
        <v>188</v>
      </c>
      <c r="C7">
        <v>974</v>
      </c>
      <c r="D7">
        <v>974</v>
      </c>
    </row>
    <row r="8" spans="1:55" x14ac:dyDescent="0.25">
      <c r="A8" t="s">
        <v>6</v>
      </c>
      <c r="B8">
        <v>196</v>
      </c>
      <c r="C8">
        <v>986</v>
      </c>
      <c r="D8">
        <v>997</v>
      </c>
    </row>
    <row r="9" spans="1:55" x14ac:dyDescent="0.25">
      <c r="A9" t="s">
        <v>7</v>
      </c>
      <c r="B9">
        <v>172</v>
      </c>
      <c r="C9">
        <v>814</v>
      </c>
      <c r="D9">
        <v>816</v>
      </c>
    </row>
    <row r="10" spans="1:55" x14ac:dyDescent="0.25">
      <c r="A10" t="s">
        <v>8</v>
      </c>
      <c r="B10">
        <v>120</v>
      </c>
      <c r="C10">
        <v>616</v>
      </c>
      <c r="D10">
        <v>616</v>
      </c>
    </row>
    <row r="11" spans="1:55" x14ac:dyDescent="0.25">
      <c r="A11" t="s">
        <v>9</v>
      </c>
      <c r="B11">
        <v>175</v>
      </c>
      <c r="C11">
        <v>997</v>
      </c>
      <c r="D11">
        <v>997</v>
      </c>
    </row>
    <row r="12" spans="1:55" x14ac:dyDescent="0.25">
      <c r="A12" t="s">
        <v>10</v>
      </c>
      <c r="B12">
        <v>126</v>
      </c>
      <c r="C12">
        <v>608</v>
      </c>
      <c r="D12">
        <v>611</v>
      </c>
    </row>
    <row r="13" spans="1:55" x14ac:dyDescent="0.25">
      <c r="A13" t="s">
        <v>11</v>
      </c>
      <c r="B13">
        <v>73</v>
      </c>
      <c r="C13">
        <v>402</v>
      </c>
      <c r="D13">
        <v>402</v>
      </c>
    </row>
    <row r="14" spans="1:55" x14ac:dyDescent="0.25">
      <c r="A14" t="s">
        <v>12</v>
      </c>
      <c r="B14">
        <v>184</v>
      </c>
      <c r="C14">
        <v>1109</v>
      </c>
      <c r="D14">
        <v>1109</v>
      </c>
    </row>
    <row r="15" spans="1:55" x14ac:dyDescent="0.25">
      <c r="A15" t="s">
        <v>13</v>
      </c>
      <c r="B15">
        <v>193</v>
      </c>
      <c r="C15">
        <v>1073</v>
      </c>
      <c r="D15">
        <v>1073</v>
      </c>
    </row>
    <row r="16" spans="1:55" x14ac:dyDescent="0.25">
      <c r="A16" t="s">
        <v>14</v>
      </c>
      <c r="B16">
        <v>258</v>
      </c>
      <c r="C16">
        <v>1272</v>
      </c>
      <c r="D16">
        <v>1296</v>
      </c>
    </row>
    <row r="17" spans="1:55" x14ac:dyDescent="0.25">
      <c r="A17" t="s">
        <v>15</v>
      </c>
      <c r="B17">
        <v>96</v>
      </c>
      <c r="C17">
        <v>495</v>
      </c>
      <c r="D17">
        <v>495</v>
      </c>
    </row>
    <row r="18" spans="1:55" x14ac:dyDescent="0.25">
      <c r="A18" t="s">
        <v>16</v>
      </c>
      <c r="B18">
        <v>153</v>
      </c>
      <c r="C18">
        <v>856</v>
      </c>
      <c r="D18">
        <v>857</v>
      </c>
    </row>
    <row r="19" spans="1:55" x14ac:dyDescent="0.25">
      <c r="A19" t="s">
        <v>17</v>
      </c>
      <c r="B19">
        <v>1731</v>
      </c>
      <c r="C19">
        <v>8733</v>
      </c>
      <c r="D19">
        <v>8733</v>
      </c>
      <c r="E19">
        <v>962</v>
      </c>
      <c r="F19">
        <v>479</v>
      </c>
      <c r="G19">
        <v>483</v>
      </c>
      <c r="H19">
        <v>946</v>
      </c>
      <c r="I19">
        <v>486</v>
      </c>
      <c r="J19">
        <v>460</v>
      </c>
      <c r="K19">
        <v>961</v>
      </c>
      <c r="L19">
        <v>500</v>
      </c>
      <c r="M19">
        <v>461</v>
      </c>
      <c r="N19">
        <v>865</v>
      </c>
      <c r="O19">
        <v>450</v>
      </c>
      <c r="P19">
        <v>415</v>
      </c>
      <c r="Q19">
        <v>778</v>
      </c>
      <c r="R19">
        <v>429</v>
      </c>
      <c r="S19">
        <v>349</v>
      </c>
      <c r="T19">
        <v>654</v>
      </c>
      <c r="U19">
        <v>365</v>
      </c>
      <c r="V19">
        <v>289</v>
      </c>
      <c r="W19">
        <v>601</v>
      </c>
      <c r="X19">
        <v>357</v>
      </c>
      <c r="Y19">
        <v>244</v>
      </c>
      <c r="Z19">
        <v>528</v>
      </c>
      <c r="AA19">
        <v>288</v>
      </c>
      <c r="AB19">
        <v>240</v>
      </c>
      <c r="AC19">
        <v>461</v>
      </c>
      <c r="AD19">
        <v>240</v>
      </c>
      <c r="AE19">
        <v>221</v>
      </c>
      <c r="AF19">
        <v>435</v>
      </c>
      <c r="AG19">
        <v>231</v>
      </c>
      <c r="AH19">
        <v>204</v>
      </c>
      <c r="AI19">
        <v>364</v>
      </c>
      <c r="AJ19">
        <v>188</v>
      </c>
      <c r="AK19">
        <v>176</v>
      </c>
      <c r="AL19">
        <v>334</v>
      </c>
      <c r="AM19">
        <v>170</v>
      </c>
      <c r="AN19">
        <v>164</v>
      </c>
      <c r="AO19">
        <v>272</v>
      </c>
      <c r="AP19">
        <v>145</v>
      </c>
      <c r="AQ19">
        <v>127</v>
      </c>
      <c r="AR19">
        <v>201</v>
      </c>
      <c r="AS19">
        <v>96</v>
      </c>
      <c r="AT19">
        <v>105</v>
      </c>
      <c r="AU19">
        <v>167</v>
      </c>
      <c r="AV19">
        <v>72</v>
      </c>
      <c r="AW19">
        <v>95</v>
      </c>
      <c r="AX19">
        <v>115</v>
      </c>
      <c r="AY19">
        <v>45</v>
      </c>
      <c r="AZ19">
        <v>70</v>
      </c>
      <c r="BA19">
        <v>89</v>
      </c>
      <c r="BB19">
        <v>39</v>
      </c>
      <c r="BC19">
        <v>50</v>
      </c>
    </row>
    <row r="20" spans="1:55" x14ac:dyDescent="0.25">
      <c r="A20" t="s">
        <v>18</v>
      </c>
      <c r="B20">
        <v>221</v>
      </c>
      <c r="C20">
        <v>1229</v>
      </c>
      <c r="D20">
        <v>1229</v>
      </c>
    </row>
    <row r="21" spans="1:55" x14ac:dyDescent="0.25">
      <c r="A21" t="s">
        <v>19</v>
      </c>
      <c r="B21">
        <v>278</v>
      </c>
      <c r="C21">
        <v>1419</v>
      </c>
      <c r="D21">
        <v>1419</v>
      </c>
    </row>
    <row r="22" spans="1:55" x14ac:dyDescent="0.25">
      <c r="A22" t="s">
        <v>20</v>
      </c>
      <c r="B22">
        <v>122</v>
      </c>
      <c r="C22">
        <v>635</v>
      </c>
      <c r="D22">
        <v>635</v>
      </c>
    </row>
    <row r="23" spans="1:55" x14ac:dyDescent="0.25">
      <c r="A23" t="s">
        <v>21</v>
      </c>
      <c r="B23">
        <v>279</v>
      </c>
      <c r="C23">
        <v>1421</v>
      </c>
      <c r="D23">
        <v>1421</v>
      </c>
    </row>
    <row r="24" spans="1:55" x14ac:dyDescent="0.25">
      <c r="A24" t="s">
        <v>22</v>
      </c>
      <c r="B24">
        <v>115</v>
      </c>
      <c r="C24">
        <v>592</v>
      </c>
      <c r="D24">
        <v>592</v>
      </c>
    </row>
    <row r="25" spans="1:55" x14ac:dyDescent="0.25">
      <c r="A25" t="s">
        <v>23</v>
      </c>
      <c r="B25">
        <v>154</v>
      </c>
      <c r="C25">
        <v>691</v>
      </c>
      <c r="D25">
        <v>691</v>
      </c>
    </row>
    <row r="26" spans="1:55" x14ac:dyDescent="0.25">
      <c r="A26" t="s">
        <v>24</v>
      </c>
      <c r="B26">
        <v>158</v>
      </c>
      <c r="C26">
        <v>728</v>
      </c>
      <c r="D26">
        <v>728</v>
      </c>
    </row>
    <row r="27" spans="1:55" x14ac:dyDescent="0.25">
      <c r="A27" t="s">
        <v>25</v>
      </c>
      <c r="B27">
        <v>183</v>
      </c>
      <c r="C27">
        <v>912</v>
      </c>
      <c r="D27">
        <v>912</v>
      </c>
    </row>
    <row r="28" spans="1:55" x14ac:dyDescent="0.25">
      <c r="A28" t="s">
        <v>26</v>
      </c>
      <c r="B28">
        <v>221</v>
      </c>
      <c r="C28">
        <v>1106</v>
      </c>
      <c r="D28">
        <v>1106</v>
      </c>
    </row>
    <row r="29" spans="1:55" x14ac:dyDescent="0.25">
      <c r="A29" t="s">
        <v>27</v>
      </c>
      <c r="B29">
        <v>1800</v>
      </c>
      <c r="C29">
        <v>9639</v>
      </c>
      <c r="D29">
        <v>9644</v>
      </c>
      <c r="E29">
        <v>939</v>
      </c>
      <c r="F29">
        <v>484</v>
      </c>
      <c r="G29">
        <v>455</v>
      </c>
      <c r="H29">
        <v>1003</v>
      </c>
      <c r="I29">
        <v>530</v>
      </c>
      <c r="J29">
        <v>473</v>
      </c>
      <c r="K29">
        <v>991</v>
      </c>
      <c r="L29">
        <v>513</v>
      </c>
      <c r="M29">
        <v>478</v>
      </c>
      <c r="N29">
        <f>2+943</f>
        <v>945</v>
      </c>
      <c r="O29">
        <v>520</v>
      </c>
      <c r="P29">
        <f>2+423</f>
        <v>425</v>
      </c>
      <c r="Q29">
        <v>964</v>
      </c>
      <c r="R29">
        <v>512</v>
      </c>
      <c r="S29">
        <v>452</v>
      </c>
      <c r="T29">
        <f>1+831</f>
        <v>832</v>
      </c>
      <c r="U29">
        <v>436</v>
      </c>
      <c r="V29">
        <v>395</v>
      </c>
      <c r="W29">
        <v>690</v>
      </c>
      <c r="X29">
        <v>383</v>
      </c>
      <c r="Y29">
        <v>307</v>
      </c>
      <c r="Z29">
        <f>1+586</f>
        <v>587</v>
      </c>
      <c r="AA29">
        <f>1+316</f>
        <v>317</v>
      </c>
      <c r="AB29">
        <v>270</v>
      </c>
      <c r="AC29">
        <v>537</v>
      </c>
      <c r="AD29">
        <v>289</v>
      </c>
      <c r="AE29">
        <v>248</v>
      </c>
      <c r="AF29">
        <v>462</v>
      </c>
      <c r="AG29">
        <v>249</v>
      </c>
      <c r="AH29">
        <v>213</v>
      </c>
      <c r="AI29">
        <v>415</v>
      </c>
      <c r="AJ29">
        <v>220</v>
      </c>
      <c r="AK29">
        <v>195</v>
      </c>
      <c r="AL29">
        <v>346</v>
      </c>
      <c r="AM29">
        <v>173</v>
      </c>
      <c r="AN29">
        <v>173</v>
      </c>
      <c r="AO29">
        <v>285</v>
      </c>
      <c r="AP29">
        <v>153</v>
      </c>
      <c r="AQ29">
        <v>132</v>
      </c>
      <c r="AR29">
        <f>1+242</f>
        <v>243</v>
      </c>
      <c r="AS29">
        <f>1+109</f>
        <v>110</v>
      </c>
      <c r="AT29">
        <v>133</v>
      </c>
      <c r="AU29">
        <v>161</v>
      </c>
      <c r="AV29">
        <v>82</v>
      </c>
      <c r="AW29">
        <v>79</v>
      </c>
      <c r="AX29">
        <v>120</v>
      </c>
      <c r="AY29">
        <v>54</v>
      </c>
      <c r="AZ29">
        <v>66</v>
      </c>
      <c r="BA29">
        <v>124</v>
      </c>
      <c r="BB29">
        <v>48</v>
      </c>
      <c r="BC29">
        <v>76</v>
      </c>
    </row>
    <row r="30" spans="1:55" x14ac:dyDescent="0.25">
      <c r="A30" t="s">
        <v>28</v>
      </c>
      <c r="B30">
        <v>94</v>
      </c>
      <c r="C30">
        <v>546</v>
      </c>
      <c r="D30">
        <v>546</v>
      </c>
    </row>
    <row r="31" spans="1:55" x14ac:dyDescent="0.25">
      <c r="A31" t="s">
        <v>29</v>
      </c>
      <c r="B31">
        <v>365</v>
      </c>
      <c r="C31">
        <v>1622</v>
      </c>
      <c r="D31">
        <v>1623</v>
      </c>
    </row>
    <row r="32" spans="1:55" x14ac:dyDescent="0.25">
      <c r="A32" t="s">
        <v>30</v>
      </c>
      <c r="B32">
        <v>147</v>
      </c>
      <c r="C32">
        <v>746</v>
      </c>
      <c r="D32">
        <v>747</v>
      </c>
    </row>
    <row r="33" spans="1:55" x14ac:dyDescent="0.25">
      <c r="A33" t="s">
        <v>31</v>
      </c>
      <c r="B33">
        <v>232</v>
      </c>
      <c r="C33">
        <v>1276</v>
      </c>
      <c r="D33">
        <v>1276</v>
      </c>
    </row>
    <row r="34" spans="1:55" x14ac:dyDescent="0.25">
      <c r="A34" t="s">
        <v>32</v>
      </c>
      <c r="B34">
        <v>60</v>
      </c>
      <c r="C34">
        <v>366</v>
      </c>
      <c r="D34">
        <v>366</v>
      </c>
    </row>
    <row r="35" spans="1:55" x14ac:dyDescent="0.25">
      <c r="A35" t="s">
        <v>33</v>
      </c>
      <c r="B35">
        <v>81</v>
      </c>
      <c r="C35">
        <v>480</v>
      </c>
      <c r="D35">
        <v>480</v>
      </c>
    </row>
    <row r="36" spans="1:55" x14ac:dyDescent="0.25">
      <c r="A36" t="s">
        <v>34</v>
      </c>
      <c r="B36">
        <v>105</v>
      </c>
      <c r="C36">
        <v>580</v>
      </c>
      <c r="D36">
        <v>580</v>
      </c>
    </row>
    <row r="37" spans="1:55" x14ac:dyDescent="0.25">
      <c r="A37" t="s">
        <v>35</v>
      </c>
      <c r="B37">
        <v>66</v>
      </c>
      <c r="C37">
        <v>397</v>
      </c>
      <c r="D37">
        <v>397</v>
      </c>
    </row>
    <row r="38" spans="1:55" x14ac:dyDescent="0.25">
      <c r="A38" t="s">
        <v>36</v>
      </c>
      <c r="B38">
        <v>166</v>
      </c>
      <c r="C38">
        <v>957</v>
      </c>
      <c r="D38">
        <v>960</v>
      </c>
    </row>
    <row r="39" spans="1:55" x14ac:dyDescent="0.25">
      <c r="A39" t="s">
        <v>37</v>
      </c>
      <c r="B39">
        <v>121</v>
      </c>
      <c r="C39">
        <v>704</v>
      </c>
      <c r="D39">
        <v>704</v>
      </c>
    </row>
    <row r="40" spans="1:55" x14ac:dyDescent="0.25">
      <c r="A40" t="s">
        <v>38</v>
      </c>
      <c r="B40">
        <v>81</v>
      </c>
      <c r="C40">
        <v>429</v>
      </c>
      <c r="D40">
        <v>429</v>
      </c>
    </row>
    <row r="41" spans="1:55" x14ac:dyDescent="0.25">
      <c r="A41" t="s">
        <v>39</v>
      </c>
      <c r="B41">
        <v>118</v>
      </c>
      <c r="C41">
        <v>679</v>
      </c>
      <c r="D41">
        <v>679</v>
      </c>
    </row>
    <row r="42" spans="1:55" x14ac:dyDescent="0.25">
      <c r="A42" t="s">
        <v>40</v>
      </c>
      <c r="B42">
        <v>72</v>
      </c>
      <c r="C42">
        <v>401</v>
      </c>
      <c r="D42">
        <v>401</v>
      </c>
    </row>
    <row r="43" spans="1:55" x14ac:dyDescent="0.25">
      <c r="A43" t="s">
        <v>41</v>
      </c>
      <c r="B43">
        <v>92</v>
      </c>
      <c r="C43">
        <v>456</v>
      </c>
      <c r="D43">
        <v>456</v>
      </c>
    </row>
    <row r="44" spans="1:55" x14ac:dyDescent="0.25">
      <c r="A44" t="s">
        <v>42</v>
      </c>
      <c r="B44">
        <v>6279</v>
      </c>
      <c r="C44">
        <v>32014</v>
      </c>
      <c r="D44">
        <v>32026</v>
      </c>
      <c r="E44">
        <f>1+3502</f>
        <v>3503</v>
      </c>
      <c r="F44">
        <f>1+1785</f>
        <v>1786</v>
      </c>
      <c r="G44">
        <v>1717</v>
      </c>
      <c r="H44">
        <v>3726</v>
      </c>
      <c r="I44">
        <v>1923</v>
      </c>
      <c r="J44">
        <v>1803</v>
      </c>
      <c r="K44">
        <v>3679</v>
      </c>
      <c r="L44">
        <v>1837</v>
      </c>
      <c r="M44">
        <v>1842</v>
      </c>
      <c r="N44">
        <v>3343</v>
      </c>
      <c r="O44">
        <v>1811</v>
      </c>
      <c r="P44">
        <v>1532</v>
      </c>
      <c r="Q44">
        <f>1+2926</f>
        <v>2927</v>
      </c>
      <c r="R44">
        <f>1+1537</f>
        <v>1538</v>
      </c>
      <c r="S44">
        <v>1389</v>
      </c>
      <c r="T44">
        <f>1+2659</f>
        <v>2660</v>
      </c>
      <c r="U44">
        <v>1425</v>
      </c>
      <c r="V44">
        <f>1+1234</f>
        <v>1235</v>
      </c>
      <c r="W44">
        <v>2052</v>
      </c>
      <c r="X44">
        <v>1118</v>
      </c>
      <c r="Y44">
        <v>934</v>
      </c>
      <c r="Z44">
        <f>1+1926</f>
        <v>1927</v>
      </c>
      <c r="AA44">
        <f>1+1035</f>
        <v>1036</v>
      </c>
      <c r="AB44">
        <v>891</v>
      </c>
      <c r="AC44">
        <f>2+1644</f>
        <v>1646</v>
      </c>
      <c r="AD44">
        <f>2+865</f>
        <v>867</v>
      </c>
      <c r="AE44">
        <v>779</v>
      </c>
      <c r="AF44">
        <f>2+1575</f>
        <v>1577</v>
      </c>
      <c r="AG44">
        <f>2+813</f>
        <v>815</v>
      </c>
      <c r="AH44">
        <v>762</v>
      </c>
      <c r="AI44">
        <f>1+1383</f>
        <v>1384</v>
      </c>
      <c r="AJ44">
        <f>1+756</f>
        <v>757</v>
      </c>
      <c r="AK44">
        <v>627</v>
      </c>
      <c r="AL44">
        <f>1+1174</f>
        <v>1175</v>
      </c>
      <c r="AM44">
        <v>606</v>
      </c>
      <c r="AN44">
        <f>1+568</f>
        <v>569</v>
      </c>
      <c r="AO44">
        <v>782</v>
      </c>
      <c r="AP44">
        <v>408</v>
      </c>
      <c r="AQ44">
        <v>374</v>
      </c>
      <c r="AR44">
        <v>554</v>
      </c>
      <c r="AS44">
        <v>269</v>
      </c>
      <c r="AT44">
        <v>285</v>
      </c>
      <c r="AU44">
        <v>447</v>
      </c>
      <c r="AV44">
        <v>218</v>
      </c>
      <c r="AW44">
        <v>229</v>
      </c>
      <c r="AX44">
        <f>2+312</f>
        <v>314</v>
      </c>
      <c r="AY44">
        <v>137</v>
      </c>
      <c r="AZ44">
        <f>2+175</f>
        <v>177</v>
      </c>
      <c r="BA44">
        <v>330</v>
      </c>
      <c r="BB44">
        <v>137</v>
      </c>
      <c r="BC44">
        <v>193</v>
      </c>
    </row>
    <row r="45" spans="1:55" x14ac:dyDescent="0.25">
      <c r="A45" t="s">
        <v>43</v>
      </c>
      <c r="B45">
        <v>192</v>
      </c>
      <c r="C45">
        <v>883</v>
      </c>
      <c r="D45">
        <v>883</v>
      </c>
    </row>
    <row r="46" spans="1:55" x14ac:dyDescent="0.25">
      <c r="A46" t="s">
        <v>44</v>
      </c>
      <c r="B46">
        <v>275</v>
      </c>
      <c r="C46">
        <v>1636</v>
      </c>
      <c r="D46">
        <v>1640</v>
      </c>
    </row>
    <row r="47" spans="1:55" x14ac:dyDescent="0.25">
      <c r="A47" t="s">
        <v>45</v>
      </c>
      <c r="B47">
        <v>348</v>
      </c>
      <c r="C47">
        <v>1756</v>
      </c>
      <c r="D47">
        <v>1756</v>
      </c>
    </row>
    <row r="48" spans="1:55" x14ac:dyDescent="0.25">
      <c r="A48" t="s">
        <v>46</v>
      </c>
      <c r="B48">
        <v>407</v>
      </c>
      <c r="C48">
        <v>2067</v>
      </c>
      <c r="D48">
        <v>2067</v>
      </c>
    </row>
    <row r="49" spans="1:4" x14ac:dyDescent="0.25">
      <c r="A49" t="s">
        <v>47</v>
      </c>
      <c r="B49">
        <v>109</v>
      </c>
      <c r="C49">
        <v>534</v>
      </c>
      <c r="D49">
        <v>534</v>
      </c>
    </row>
    <row r="50" spans="1:4" x14ac:dyDescent="0.25">
      <c r="A50" t="s">
        <v>48</v>
      </c>
      <c r="B50">
        <v>251</v>
      </c>
      <c r="C50">
        <v>1508</v>
      </c>
      <c r="D50">
        <v>1508</v>
      </c>
    </row>
    <row r="51" spans="1:4" x14ac:dyDescent="0.25">
      <c r="A51" t="s">
        <v>49</v>
      </c>
      <c r="B51">
        <v>366</v>
      </c>
      <c r="C51">
        <v>2084</v>
      </c>
      <c r="D51">
        <v>2084</v>
      </c>
    </row>
    <row r="52" spans="1:4" x14ac:dyDescent="0.25">
      <c r="A52" t="s">
        <v>50</v>
      </c>
      <c r="B52">
        <v>199</v>
      </c>
      <c r="C52">
        <v>1078</v>
      </c>
      <c r="D52">
        <v>1078</v>
      </c>
    </row>
    <row r="53" spans="1:4" x14ac:dyDescent="0.25">
      <c r="A53" t="s">
        <v>51</v>
      </c>
      <c r="B53">
        <v>178</v>
      </c>
      <c r="C53">
        <v>859</v>
      </c>
      <c r="D53">
        <v>859</v>
      </c>
    </row>
    <row r="54" spans="1:4" x14ac:dyDescent="0.25">
      <c r="A54" t="s">
        <v>52</v>
      </c>
      <c r="B54">
        <v>353</v>
      </c>
      <c r="C54">
        <v>1771</v>
      </c>
      <c r="D54">
        <v>1773</v>
      </c>
    </row>
    <row r="55" spans="1:4" x14ac:dyDescent="0.25">
      <c r="A55" t="s">
        <v>53</v>
      </c>
      <c r="B55">
        <v>236</v>
      </c>
      <c r="C55">
        <v>1147</v>
      </c>
      <c r="D55">
        <v>1147</v>
      </c>
    </row>
    <row r="56" spans="1:4" x14ac:dyDescent="0.25">
      <c r="A56" t="s">
        <v>54</v>
      </c>
      <c r="B56">
        <v>238</v>
      </c>
      <c r="C56">
        <v>1049</v>
      </c>
      <c r="D56">
        <v>1049</v>
      </c>
    </row>
    <row r="57" spans="1:4" x14ac:dyDescent="0.25">
      <c r="A57" t="s">
        <v>55</v>
      </c>
      <c r="B57">
        <v>184</v>
      </c>
      <c r="C57">
        <v>970</v>
      </c>
      <c r="D57">
        <v>970</v>
      </c>
    </row>
    <row r="58" spans="1:4" x14ac:dyDescent="0.25">
      <c r="A58" t="s">
        <v>56</v>
      </c>
      <c r="B58">
        <v>159</v>
      </c>
      <c r="C58">
        <v>825</v>
      </c>
      <c r="D58">
        <v>825</v>
      </c>
    </row>
    <row r="59" spans="1:4" x14ac:dyDescent="0.25">
      <c r="A59" t="s">
        <v>57</v>
      </c>
      <c r="B59">
        <v>176</v>
      </c>
      <c r="C59">
        <v>907</v>
      </c>
      <c r="D59">
        <v>907</v>
      </c>
    </row>
    <row r="60" spans="1:4" x14ac:dyDescent="0.25">
      <c r="A60" t="s">
        <v>58</v>
      </c>
      <c r="B60">
        <v>342</v>
      </c>
      <c r="C60">
        <v>1869</v>
      </c>
      <c r="D60">
        <v>1869</v>
      </c>
    </row>
    <row r="61" spans="1:4" x14ac:dyDescent="0.25">
      <c r="A61" t="s">
        <v>59</v>
      </c>
      <c r="B61">
        <v>189</v>
      </c>
      <c r="C61">
        <v>877</v>
      </c>
      <c r="D61">
        <v>877</v>
      </c>
    </row>
    <row r="62" spans="1:4" x14ac:dyDescent="0.25">
      <c r="A62" t="s">
        <v>60</v>
      </c>
      <c r="B62">
        <v>201</v>
      </c>
      <c r="C62">
        <v>1020</v>
      </c>
      <c r="D62">
        <v>1020</v>
      </c>
    </row>
    <row r="63" spans="1:4" x14ac:dyDescent="0.25">
      <c r="A63" t="s">
        <v>61</v>
      </c>
      <c r="B63">
        <v>670</v>
      </c>
      <c r="C63">
        <v>2985</v>
      </c>
      <c r="D63">
        <v>2989</v>
      </c>
    </row>
    <row r="64" spans="1:4" x14ac:dyDescent="0.25">
      <c r="A64" t="s">
        <v>62</v>
      </c>
      <c r="B64">
        <v>342</v>
      </c>
      <c r="C64">
        <v>1736</v>
      </c>
      <c r="D64">
        <v>1736</v>
      </c>
    </row>
    <row r="65" spans="1:55" x14ac:dyDescent="0.25">
      <c r="A65" t="s">
        <v>63</v>
      </c>
      <c r="B65">
        <v>474</v>
      </c>
      <c r="C65">
        <v>2486</v>
      </c>
      <c r="D65">
        <v>2488</v>
      </c>
    </row>
    <row r="66" spans="1:55" x14ac:dyDescent="0.25">
      <c r="A66" t="s">
        <v>64</v>
      </c>
      <c r="B66">
        <v>155</v>
      </c>
      <c r="C66">
        <v>789</v>
      </c>
      <c r="D66">
        <v>789</v>
      </c>
    </row>
    <row r="67" spans="1:55" x14ac:dyDescent="0.25">
      <c r="A67" t="s">
        <v>65</v>
      </c>
      <c r="B67">
        <v>235</v>
      </c>
      <c r="C67">
        <v>1178</v>
      </c>
      <c r="D67">
        <v>1178</v>
      </c>
    </row>
    <row r="68" spans="1:55" x14ac:dyDescent="0.25">
      <c r="A68" t="s">
        <v>66</v>
      </c>
      <c r="B68">
        <v>3723</v>
      </c>
      <c r="C68">
        <v>17028</v>
      </c>
      <c r="D68">
        <v>17038</v>
      </c>
      <c r="E68">
        <v>1821</v>
      </c>
      <c r="F68">
        <v>959</v>
      </c>
      <c r="G68">
        <v>862</v>
      </c>
      <c r="H68">
        <v>1987</v>
      </c>
      <c r="I68">
        <v>1018</v>
      </c>
      <c r="J68">
        <v>969</v>
      </c>
      <c r="K68">
        <v>1812</v>
      </c>
      <c r="L68">
        <v>931</v>
      </c>
      <c r="M68">
        <v>881</v>
      </c>
      <c r="N68">
        <v>1712</v>
      </c>
      <c r="O68">
        <v>877</v>
      </c>
      <c r="P68">
        <v>835</v>
      </c>
      <c r="Q68">
        <f>3+1535</f>
        <v>1538</v>
      </c>
      <c r="R68">
        <f>3+770</f>
        <v>773</v>
      </c>
      <c r="S68">
        <v>765</v>
      </c>
      <c r="T68">
        <f>4+1384</f>
        <v>1388</v>
      </c>
      <c r="U68">
        <f>4+710</f>
        <v>714</v>
      </c>
      <c r="V68">
        <v>674</v>
      </c>
      <c r="W68">
        <f>1+1129</f>
        <v>1130</v>
      </c>
      <c r="X68">
        <f>1+604</f>
        <v>605</v>
      </c>
      <c r="Y68">
        <v>525</v>
      </c>
      <c r="Z68">
        <f>1+1121</f>
        <v>1122</v>
      </c>
      <c r="AA68">
        <f>1+579</f>
        <v>580</v>
      </c>
      <c r="AB68">
        <v>542</v>
      </c>
      <c r="AC68">
        <f>1+991</f>
        <v>992</v>
      </c>
      <c r="AD68">
        <f>1+511</f>
        <v>512</v>
      </c>
      <c r="AE68">
        <v>480</v>
      </c>
      <c r="AF68">
        <v>897</v>
      </c>
      <c r="AG68">
        <v>462</v>
      </c>
      <c r="AH68">
        <v>435</v>
      </c>
      <c r="AI68">
        <v>719</v>
      </c>
      <c r="AJ68">
        <v>375</v>
      </c>
      <c r="AK68">
        <v>344</v>
      </c>
      <c r="AL68">
        <v>604</v>
      </c>
      <c r="AM68">
        <v>315</v>
      </c>
      <c r="AN68">
        <v>289</v>
      </c>
      <c r="AO68">
        <v>500</v>
      </c>
      <c r="AP68">
        <v>261</v>
      </c>
      <c r="AQ68">
        <v>239</v>
      </c>
      <c r="AR68">
        <v>312</v>
      </c>
      <c r="AS68">
        <v>145</v>
      </c>
      <c r="AT68">
        <v>167</v>
      </c>
      <c r="AU68">
        <v>211</v>
      </c>
      <c r="AV68">
        <v>95</v>
      </c>
      <c r="AW68">
        <v>116</v>
      </c>
      <c r="AX68">
        <v>144</v>
      </c>
      <c r="AY68">
        <v>61</v>
      </c>
      <c r="AZ68">
        <v>83</v>
      </c>
      <c r="BA68">
        <v>149</v>
      </c>
      <c r="BB68">
        <v>51</v>
      </c>
      <c r="BC68">
        <v>98</v>
      </c>
    </row>
    <row r="69" spans="1:55" x14ac:dyDescent="0.25">
      <c r="A69" t="s">
        <v>67</v>
      </c>
      <c r="B69">
        <v>231</v>
      </c>
      <c r="C69">
        <v>1164</v>
      </c>
      <c r="D69">
        <v>1164</v>
      </c>
    </row>
    <row r="70" spans="1:55" x14ac:dyDescent="0.25">
      <c r="A70" t="s">
        <v>68</v>
      </c>
      <c r="B70">
        <v>279</v>
      </c>
      <c r="C70">
        <v>1278</v>
      </c>
      <c r="D70">
        <v>1278</v>
      </c>
    </row>
    <row r="71" spans="1:55" x14ac:dyDescent="0.25">
      <c r="A71" t="s">
        <v>69</v>
      </c>
      <c r="B71">
        <v>201</v>
      </c>
      <c r="C71">
        <v>854</v>
      </c>
      <c r="D71">
        <v>854</v>
      </c>
    </row>
    <row r="72" spans="1:55" x14ac:dyDescent="0.25">
      <c r="A72" t="s">
        <v>70</v>
      </c>
      <c r="B72">
        <v>313</v>
      </c>
      <c r="C72">
        <v>1412</v>
      </c>
      <c r="D72">
        <v>1412</v>
      </c>
    </row>
    <row r="73" spans="1:55" x14ac:dyDescent="0.25">
      <c r="A73" t="s">
        <v>71</v>
      </c>
      <c r="B73">
        <v>600</v>
      </c>
      <c r="C73">
        <v>2662</v>
      </c>
      <c r="D73">
        <v>2662</v>
      </c>
    </row>
    <row r="74" spans="1:55" x14ac:dyDescent="0.25">
      <c r="A74" t="s">
        <v>72</v>
      </c>
      <c r="B74">
        <v>390</v>
      </c>
      <c r="C74">
        <v>1720</v>
      </c>
      <c r="D74">
        <v>1720</v>
      </c>
    </row>
    <row r="75" spans="1:55" x14ac:dyDescent="0.25">
      <c r="A75" t="s">
        <v>73</v>
      </c>
      <c r="B75">
        <v>268</v>
      </c>
      <c r="C75">
        <v>1194</v>
      </c>
      <c r="D75">
        <v>1194</v>
      </c>
    </row>
    <row r="76" spans="1:55" x14ac:dyDescent="0.25">
      <c r="A76" t="s">
        <v>74</v>
      </c>
      <c r="B76">
        <v>123</v>
      </c>
      <c r="C76">
        <v>544</v>
      </c>
      <c r="D76">
        <v>544</v>
      </c>
    </row>
    <row r="77" spans="1:55" x14ac:dyDescent="0.25">
      <c r="A77" t="s">
        <v>75</v>
      </c>
      <c r="B77">
        <v>301</v>
      </c>
      <c r="C77">
        <v>1495</v>
      </c>
      <c r="D77">
        <v>1495</v>
      </c>
    </row>
    <row r="78" spans="1:55" x14ac:dyDescent="0.25">
      <c r="A78" t="s">
        <v>76</v>
      </c>
      <c r="B78">
        <v>416</v>
      </c>
      <c r="C78">
        <v>1901</v>
      </c>
      <c r="D78">
        <v>1901</v>
      </c>
    </row>
    <row r="79" spans="1:55" x14ac:dyDescent="0.25">
      <c r="A79" t="s">
        <v>77</v>
      </c>
      <c r="B79">
        <v>204</v>
      </c>
      <c r="C79">
        <v>918</v>
      </c>
      <c r="D79">
        <v>918</v>
      </c>
    </row>
    <row r="80" spans="1:55" x14ac:dyDescent="0.25">
      <c r="A80" t="s">
        <v>78</v>
      </c>
      <c r="B80">
        <v>142</v>
      </c>
      <c r="C80">
        <v>665</v>
      </c>
      <c r="D80">
        <v>665</v>
      </c>
    </row>
    <row r="81" spans="1:55" x14ac:dyDescent="0.25">
      <c r="A81" t="s">
        <v>79</v>
      </c>
      <c r="B81">
        <v>121</v>
      </c>
      <c r="C81">
        <v>599</v>
      </c>
      <c r="D81">
        <v>599</v>
      </c>
    </row>
    <row r="82" spans="1:55" x14ac:dyDescent="0.25">
      <c r="A82" t="s">
        <v>80</v>
      </c>
      <c r="B82">
        <v>134</v>
      </c>
      <c r="C82">
        <v>622</v>
      </c>
      <c r="D82">
        <v>622</v>
      </c>
    </row>
    <row r="83" spans="1:55" x14ac:dyDescent="0.25">
      <c r="A83" t="s">
        <v>179</v>
      </c>
      <c r="B83">
        <v>22439</v>
      </c>
      <c r="C83">
        <v>110036</v>
      </c>
      <c r="D83">
        <v>110642</v>
      </c>
      <c r="E83">
        <f>5+12547</f>
        <v>12552</v>
      </c>
      <c r="F83">
        <f>3+6608</f>
        <v>6611</v>
      </c>
      <c r="G83">
        <f>2+5939</f>
        <v>5941</v>
      </c>
      <c r="H83">
        <f>10+12599</f>
        <v>12609</v>
      </c>
      <c r="I83">
        <f>2+6570</f>
        <v>6572</v>
      </c>
      <c r="J83">
        <f>8+6029</f>
        <v>6037</v>
      </c>
      <c r="K83">
        <f>10+12320</f>
        <v>12330</v>
      </c>
      <c r="L83">
        <f>4+6378</f>
        <v>6382</v>
      </c>
      <c r="M83">
        <f>6+5942</f>
        <v>5948</v>
      </c>
      <c r="N83">
        <f>56+11964</f>
        <v>12020</v>
      </c>
      <c r="O83">
        <f>36+6085</f>
        <v>6121</v>
      </c>
      <c r="P83">
        <f>20+5879</f>
        <v>5899</v>
      </c>
      <c r="Q83">
        <f>99+10643</f>
        <v>10742</v>
      </c>
      <c r="R83">
        <f>87+5419</f>
        <v>5506</v>
      </c>
      <c r="S83">
        <f>12+5224</f>
        <v>5236</v>
      </c>
      <c r="T83">
        <f>86+9051</f>
        <v>9137</v>
      </c>
      <c r="U83">
        <f>79+4645</f>
        <v>4724</v>
      </c>
      <c r="V83">
        <f>7+4406</f>
        <v>4413</v>
      </c>
      <c r="W83">
        <f>99+7629</f>
        <v>7728</v>
      </c>
      <c r="X83">
        <f>88+3884</f>
        <v>3972</v>
      </c>
      <c r="Y83">
        <f>11+3745</f>
        <v>3756</v>
      </c>
      <c r="Z83">
        <f>74+6737</f>
        <v>6811</v>
      </c>
      <c r="AA83">
        <f>69+3449</f>
        <v>3518</v>
      </c>
      <c r="AB83">
        <f>5+3288</f>
        <v>3293</v>
      </c>
      <c r="AC83">
        <f>58+5811</f>
        <v>5869</v>
      </c>
      <c r="AD83">
        <f>55+3008</f>
        <v>3063</v>
      </c>
      <c r="AE83">
        <f>3+2803</f>
        <v>2806</v>
      </c>
      <c r="AF83">
        <f>46+5172</f>
        <v>5218</v>
      </c>
      <c r="AG83">
        <f>41+2624</f>
        <v>2665</v>
      </c>
      <c r="AH83">
        <f>5+2548</f>
        <v>2553</v>
      </c>
      <c r="AI83">
        <f>35+4355</f>
        <v>4390</v>
      </c>
      <c r="AJ83">
        <f>35+2226</f>
        <v>2261</v>
      </c>
      <c r="AK83">
        <f>3+2129</f>
        <v>2132</v>
      </c>
      <c r="AL83">
        <f>20+3628</f>
        <v>3648</v>
      </c>
      <c r="AM83">
        <f>19+1731</f>
        <v>1750</v>
      </c>
      <c r="AN83">
        <f>1+1897</f>
        <v>1898</v>
      </c>
      <c r="AO83">
        <f>4+2691</f>
        <v>2695</v>
      </c>
      <c r="AP83">
        <f>4+1337</f>
        <v>1341</v>
      </c>
      <c r="AQ83">
        <v>1354</v>
      </c>
      <c r="AR83">
        <v>1878</v>
      </c>
      <c r="AS83">
        <v>893</v>
      </c>
      <c r="AT83">
        <v>985</v>
      </c>
      <c r="AU83">
        <f>1+1219</f>
        <v>1220</v>
      </c>
      <c r="AV83">
        <v>550</v>
      </c>
      <c r="AW83">
        <f>1+669</f>
        <v>670</v>
      </c>
      <c r="AX83">
        <f>3+875</f>
        <v>878</v>
      </c>
      <c r="AY83">
        <f>3+369</f>
        <v>372</v>
      </c>
      <c r="AZ83">
        <v>506</v>
      </c>
      <c r="BA83">
        <v>917</v>
      </c>
      <c r="BB83">
        <v>358</v>
      </c>
      <c r="BC83">
        <v>559</v>
      </c>
    </row>
    <row r="84" spans="1:55" x14ac:dyDescent="0.25">
      <c r="A84" t="s">
        <v>82</v>
      </c>
      <c r="B84">
        <v>920</v>
      </c>
      <c r="C84">
        <v>4599</v>
      </c>
      <c r="D84">
        <v>4599</v>
      </c>
    </row>
    <row r="85" spans="1:55" x14ac:dyDescent="0.25">
      <c r="A85" t="s">
        <v>83</v>
      </c>
      <c r="B85">
        <v>158</v>
      </c>
      <c r="C85">
        <v>894</v>
      </c>
      <c r="D85">
        <v>894</v>
      </c>
    </row>
    <row r="86" spans="1:55" x14ac:dyDescent="0.25">
      <c r="A86" t="s">
        <v>84</v>
      </c>
      <c r="B86">
        <v>574</v>
      </c>
      <c r="C86">
        <v>2739</v>
      </c>
      <c r="D86">
        <v>2741</v>
      </c>
    </row>
    <row r="87" spans="1:55" x14ac:dyDescent="0.25">
      <c r="A87" t="s">
        <v>85</v>
      </c>
      <c r="B87">
        <v>146</v>
      </c>
      <c r="C87">
        <v>843</v>
      </c>
      <c r="D87">
        <v>843</v>
      </c>
    </row>
    <row r="88" spans="1:55" x14ac:dyDescent="0.25">
      <c r="A88" t="s">
        <v>86</v>
      </c>
      <c r="B88">
        <v>293</v>
      </c>
      <c r="C88">
        <v>1686</v>
      </c>
      <c r="D88">
        <v>1686</v>
      </c>
    </row>
    <row r="89" spans="1:55" x14ac:dyDescent="0.25">
      <c r="A89" t="s">
        <v>87</v>
      </c>
      <c r="B89">
        <v>437</v>
      </c>
      <c r="C89">
        <v>1998</v>
      </c>
      <c r="D89">
        <v>1998</v>
      </c>
    </row>
    <row r="90" spans="1:55" x14ac:dyDescent="0.25">
      <c r="A90" t="s">
        <v>88</v>
      </c>
      <c r="B90">
        <v>248</v>
      </c>
      <c r="C90">
        <v>1184</v>
      </c>
      <c r="D90">
        <v>1194</v>
      </c>
    </row>
    <row r="91" spans="1:55" x14ac:dyDescent="0.25">
      <c r="A91" t="s">
        <v>89</v>
      </c>
      <c r="B91">
        <v>4128</v>
      </c>
      <c r="C91">
        <v>19369</v>
      </c>
      <c r="D91">
        <v>19636</v>
      </c>
    </row>
    <row r="92" spans="1:55" x14ac:dyDescent="0.25">
      <c r="A92" t="s">
        <v>90</v>
      </c>
      <c r="B92">
        <v>236</v>
      </c>
      <c r="C92">
        <v>1001</v>
      </c>
      <c r="D92">
        <v>1001</v>
      </c>
    </row>
    <row r="93" spans="1:55" x14ac:dyDescent="0.25">
      <c r="A93" t="s">
        <v>91</v>
      </c>
      <c r="B93">
        <v>415</v>
      </c>
      <c r="C93">
        <v>2036</v>
      </c>
      <c r="D93">
        <v>2036</v>
      </c>
    </row>
    <row r="94" spans="1:55" x14ac:dyDescent="0.25">
      <c r="A94" t="s">
        <v>92</v>
      </c>
      <c r="B94">
        <v>293</v>
      </c>
      <c r="C94">
        <v>1528</v>
      </c>
      <c r="D94">
        <v>1528</v>
      </c>
    </row>
    <row r="95" spans="1:55" x14ac:dyDescent="0.25">
      <c r="A95" t="s">
        <v>93</v>
      </c>
      <c r="B95">
        <v>314</v>
      </c>
      <c r="C95">
        <v>1522</v>
      </c>
      <c r="D95">
        <v>1562</v>
      </c>
    </row>
    <row r="96" spans="1:55" x14ac:dyDescent="0.25">
      <c r="A96" t="s">
        <v>94</v>
      </c>
      <c r="B96">
        <v>780</v>
      </c>
      <c r="C96">
        <v>4101</v>
      </c>
      <c r="D96">
        <v>4101</v>
      </c>
    </row>
    <row r="97" spans="1:4" x14ac:dyDescent="0.25">
      <c r="A97" t="s">
        <v>95</v>
      </c>
      <c r="B97">
        <v>184</v>
      </c>
      <c r="C97">
        <v>997</v>
      </c>
      <c r="D97">
        <v>997</v>
      </c>
    </row>
    <row r="98" spans="1:4" x14ac:dyDescent="0.25">
      <c r="A98" t="s">
        <v>96</v>
      </c>
      <c r="B98">
        <v>419</v>
      </c>
      <c r="C98">
        <v>1943</v>
      </c>
      <c r="D98">
        <v>1943</v>
      </c>
    </row>
    <row r="99" spans="1:4" x14ac:dyDescent="0.25">
      <c r="A99" t="s">
        <v>97</v>
      </c>
      <c r="B99">
        <v>200</v>
      </c>
      <c r="C99">
        <v>923</v>
      </c>
      <c r="D99">
        <v>923</v>
      </c>
    </row>
    <row r="100" spans="1:4" x14ac:dyDescent="0.25">
      <c r="A100" t="s">
        <v>98</v>
      </c>
      <c r="B100">
        <v>265</v>
      </c>
      <c r="C100">
        <v>1339</v>
      </c>
      <c r="D100">
        <v>1339</v>
      </c>
    </row>
    <row r="101" spans="1:4" x14ac:dyDescent="0.25">
      <c r="A101" t="s">
        <v>99</v>
      </c>
      <c r="B101">
        <v>518</v>
      </c>
      <c r="C101">
        <v>2576</v>
      </c>
      <c r="D101">
        <v>2576</v>
      </c>
    </row>
    <row r="102" spans="1:4" x14ac:dyDescent="0.25">
      <c r="A102" t="s">
        <v>100</v>
      </c>
      <c r="B102">
        <v>483</v>
      </c>
      <c r="C102">
        <v>2683</v>
      </c>
      <c r="D102">
        <v>2683</v>
      </c>
    </row>
    <row r="103" spans="1:4" x14ac:dyDescent="0.25">
      <c r="A103" t="s">
        <v>101</v>
      </c>
      <c r="B103">
        <v>285</v>
      </c>
      <c r="C103">
        <v>1395</v>
      </c>
      <c r="D103">
        <v>1395</v>
      </c>
    </row>
    <row r="104" spans="1:4" x14ac:dyDescent="0.25">
      <c r="A104" t="s">
        <v>102</v>
      </c>
      <c r="B104">
        <v>184</v>
      </c>
      <c r="C104">
        <v>906</v>
      </c>
      <c r="D104">
        <v>906</v>
      </c>
    </row>
    <row r="105" spans="1:4" x14ac:dyDescent="0.25">
      <c r="A105" t="s">
        <v>103</v>
      </c>
      <c r="B105">
        <v>888</v>
      </c>
      <c r="C105">
        <v>4049</v>
      </c>
      <c r="D105">
        <v>4072</v>
      </c>
    </row>
    <row r="106" spans="1:4" x14ac:dyDescent="0.25">
      <c r="A106" t="s">
        <v>104</v>
      </c>
      <c r="B106">
        <v>105</v>
      </c>
      <c r="C106">
        <v>465</v>
      </c>
      <c r="D106">
        <v>465</v>
      </c>
    </row>
    <row r="107" spans="1:4" x14ac:dyDescent="0.25">
      <c r="A107" t="s">
        <v>105</v>
      </c>
      <c r="B107">
        <v>202</v>
      </c>
      <c r="C107">
        <v>988</v>
      </c>
      <c r="D107">
        <v>988</v>
      </c>
    </row>
    <row r="108" spans="1:4" x14ac:dyDescent="0.25">
      <c r="A108" t="s">
        <v>106</v>
      </c>
      <c r="B108">
        <v>741</v>
      </c>
      <c r="C108">
        <v>3751</v>
      </c>
      <c r="D108">
        <v>3751</v>
      </c>
    </row>
    <row r="109" spans="1:4" x14ac:dyDescent="0.25">
      <c r="A109" t="s">
        <v>107</v>
      </c>
      <c r="B109">
        <v>203</v>
      </c>
      <c r="C109">
        <v>1062</v>
      </c>
      <c r="D109">
        <v>1062</v>
      </c>
    </row>
    <row r="110" spans="1:4" x14ac:dyDescent="0.25">
      <c r="A110" t="s">
        <v>108</v>
      </c>
      <c r="B110">
        <v>111</v>
      </c>
      <c r="C110">
        <v>691</v>
      </c>
      <c r="D110">
        <v>691</v>
      </c>
    </row>
    <row r="111" spans="1:4" x14ac:dyDescent="0.25">
      <c r="A111" t="s">
        <v>109</v>
      </c>
      <c r="B111">
        <v>606</v>
      </c>
      <c r="C111">
        <v>3018</v>
      </c>
      <c r="D111">
        <v>3019</v>
      </c>
    </row>
    <row r="112" spans="1:4" x14ac:dyDescent="0.25">
      <c r="A112" t="s">
        <v>110</v>
      </c>
      <c r="B112">
        <v>623</v>
      </c>
      <c r="C112">
        <v>2785</v>
      </c>
      <c r="D112">
        <v>2785</v>
      </c>
    </row>
    <row r="113" spans="1:55" x14ac:dyDescent="0.25">
      <c r="A113" t="s">
        <v>111</v>
      </c>
      <c r="B113">
        <v>93</v>
      </c>
      <c r="C113">
        <v>459</v>
      </c>
      <c r="D113">
        <v>459</v>
      </c>
    </row>
    <row r="114" spans="1:55" x14ac:dyDescent="0.25">
      <c r="A114" t="s">
        <v>112</v>
      </c>
      <c r="B114">
        <v>320</v>
      </c>
      <c r="C114">
        <v>1378</v>
      </c>
      <c r="D114">
        <v>1379</v>
      </c>
    </row>
    <row r="115" spans="1:55" x14ac:dyDescent="0.25">
      <c r="A115" t="s">
        <v>113</v>
      </c>
      <c r="B115">
        <v>397</v>
      </c>
      <c r="C115">
        <v>2078</v>
      </c>
      <c r="D115">
        <v>2078</v>
      </c>
    </row>
    <row r="116" spans="1:55" x14ac:dyDescent="0.25">
      <c r="A116" t="s">
        <v>114</v>
      </c>
      <c r="B116">
        <v>777</v>
      </c>
      <c r="C116">
        <v>3917</v>
      </c>
      <c r="D116">
        <v>4053</v>
      </c>
    </row>
    <row r="117" spans="1:55" x14ac:dyDescent="0.25">
      <c r="A117" t="s">
        <v>115</v>
      </c>
      <c r="B117">
        <v>660</v>
      </c>
      <c r="C117">
        <v>2852</v>
      </c>
      <c r="D117">
        <v>2872</v>
      </c>
    </row>
    <row r="118" spans="1:55" x14ac:dyDescent="0.25">
      <c r="A118" t="s">
        <v>116</v>
      </c>
      <c r="B118">
        <v>589</v>
      </c>
      <c r="C118">
        <v>2978</v>
      </c>
      <c r="D118">
        <v>3001</v>
      </c>
    </row>
    <row r="119" spans="1:55" x14ac:dyDescent="0.25">
      <c r="A119" t="s">
        <v>117</v>
      </c>
      <c r="B119">
        <v>1028</v>
      </c>
      <c r="C119">
        <v>4541</v>
      </c>
      <c r="D119">
        <v>4581</v>
      </c>
    </row>
    <row r="120" spans="1:55" x14ac:dyDescent="0.25">
      <c r="A120" t="s">
        <v>118</v>
      </c>
      <c r="B120">
        <v>828</v>
      </c>
      <c r="C120">
        <v>4420</v>
      </c>
      <c r="D120">
        <v>4420</v>
      </c>
    </row>
    <row r="121" spans="1:55" x14ac:dyDescent="0.25">
      <c r="A121" t="s">
        <v>119</v>
      </c>
      <c r="B121">
        <v>313</v>
      </c>
      <c r="C121">
        <v>1998</v>
      </c>
      <c r="D121">
        <v>2013</v>
      </c>
    </row>
    <row r="122" spans="1:55" x14ac:dyDescent="0.25">
      <c r="A122" t="s">
        <v>120</v>
      </c>
      <c r="B122">
        <v>275</v>
      </c>
      <c r="C122">
        <v>1533</v>
      </c>
      <c r="D122">
        <v>1533</v>
      </c>
    </row>
    <row r="123" spans="1:55" x14ac:dyDescent="0.25">
      <c r="A123" t="s">
        <v>121</v>
      </c>
      <c r="B123">
        <v>291</v>
      </c>
      <c r="C123">
        <v>1214</v>
      </c>
      <c r="D123">
        <v>1215</v>
      </c>
    </row>
    <row r="124" spans="1:55" x14ac:dyDescent="0.25">
      <c r="A124" t="s">
        <v>122</v>
      </c>
      <c r="B124">
        <v>1244</v>
      </c>
      <c r="C124">
        <v>6324</v>
      </c>
      <c r="D124">
        <v>6329</v>
      </c>
    </row>
    <row r="125" spans="1:55" x14ac:dyDescent="0.25">
      <c r="A125" t="s">
        <v>123</v>
      </c>
      <c r="B125">
        <v>665</v>
      </c>
      <c r="C125">
        <v>3273</v>
      </c>
      <c r="D125">
        <v>3295</v>
      </c>
    </row>
    <row r="126" spans="1:55" x14ac:dyDescent="0.25">
      <c r="A126" t="s">
        <v>124</v>
      </c>
      <c r="B126">
        <v>1568</v>
      </c>
      <c r="C126">
        <v>9534</v>
      </c>
      <c r="D126">
        <v>9534</v>
      </c>
      <c r="E126">
        <v>947</v>
      </c>
      <c r="F126">
        <v>480</v>
      </c>
      <c r="G126">
        <v>467</v>
      </c>
      <c r="H126">
        <v>1035</v>
      </c>
      <c r="I126">
        <v>574</v>
      </c>
      <c r="J126">
        <v>461</v>
      </c>
      <c r="K126">
        <v>1146</v>
      </c>
      <c r="L126">
        <v>637</v>
      </c>
      <c r="M126">
        <v>509</v>
      </c>
      <c r="N126">
        <v>1136</v>
      </c>
      <c r="O126">
        <v>629</v>
      </c>
      <c r="P126">
        <v>507</v>
      </c>
      <c r="Q126">
        <v>960</v>
      </c>
      <c r="R126">
        <v>489</v>
      </c>
      <c r="S126">
        <v>471</v>
      </c>
      <c r="T126">
        <v>819</v>
      </c>
      <c r="U126">
        <v>484</v>
      </c>
      <c r="V126">
        <v>335</v>
      </c>
      <c r="W126">
        <v>595</v>
      </c>
      <c r="X126">
        <v>325</v>
      </c>
      <c r="Y126">
        <v>270</v>
      </c>
      <c r="Z126">
        <v>484</v>
      </c>
      <c r="AA126">
        <v>260</v>
      </c>
      <c r="AB126">
        <v>224</v>
      </c>
      <c r="AC126">
        <v>431</v>
      </c>
      <c r="AD126">
        <v>240</v>
      </c>
      <c r="AE126">
        <v>191</v>
      </c>
      <c r="AF126">
        <v>423</v>
      </c>
      <c r="AG126">
        <v>213</v>
      </c>
      <c r="AH126">
        <v>210</v>
      </c>
      <c r="AI126">
        <v>399</v>
      </c>
      <c r="AJ126">
        <v>201</v>
      </c>
      <c r="AK126">
        <v>198</v>
      </c>
      <c r="AL126">
        <v>361</v>
      </c>
      <c r="AM126">
        <v>175</v>
      </c>
      <c r="AN126">
        <v>186</v>
      </c>
      <c r="AO126">
        <v>236</v>
      </c>
      <c r="AP126">
        <v>131</v>
      </c>
      <c r="AQ126">
        <v>105</v>
      </c>
      <c r="AR126">
        <v>181</v>
      </c>
      <c r="AS126">
        <v>85</v>
      </c>
      <c r="AT126">
        <v>96</v>
      </c>
      <c r="AU126">
        <v>159</v>
      </c>
      <c r="AV126">
        <v>79</v>
      </c>
      <c r="AW126">
        <v>80</v>
      </c>
      <c r="AX126">
        <v>122</v>
      </c>
      <c r="AY126">
        <v>62</v>
      </c>
      <c r="AZ126">
        <v>60</v>
      </c>
      <c r="BA126">
        <v>100</v>
      </c>
      <c r="BB126">
        <v>51</v>
      </c>
      <c r="BC126">
        <v>49</v>
      </c>
    </row>
    <row r="127" spans="1:55" x14ac:dyDescent="0.25">
      <c r="A127" t="s">
        <v>125</v>
      </c>
      <c r="B127">
        <v>59</v>
      </c>
      <c r="C127">
        <v>400</v>
      </c>
      <c r="D127">
        <v>400</v>
      </c>
    </row>
    <row r="128" spans="1:55" x14ac:dyDescent="0.25">
      <c r="A128" t="s">
        <v>126</v>
      </c>
      <c r="B128">
        <v>91</v>
      </c>
      <c r="C128">
        <v>620</v>
      </c>
      <c r="D128">
        <v>620</v>
      </c>
    </row>
    <row r="129" spans="1:55" x14ac:dyDescent="0.25">
      <c r="A129" t="s">
        <v>127</v>
      </c>
      <c r="B129">
        <v>82</v>
      </c>
      <c r="C129">
        <v>482</v>
      </c>
      <c r="D129">
        <v>482</v>
      </c>
    </row>
    <row r="130" spans="1:55" x14ac:dyDescent="0.25">
      <c r="A130" t="s">
        <v>128</v>
      </c>
      <c r="B130">
        <v>90</v>
      </c>
      <c r="C130">
        <v>541</v>
      </c>
      <c r="D130">
        <v>541</v>
      </c>
    </row>
    <row r="131" spans="1:55" x14ac:dyDescent="0.25">
      <c r="A131" t="s">
        <v>129</v>
      </c>
      <c r="B131">
        <v>41</v>
      </c>
      <c r="C131">
        <v>286</v>
      </c>
      <c r="D131">
        <v>286</v>
      </c>
    </row>
    <row r="132" spans="1:55" x14ac:dyDescent="0.25">
      <c r="A132" t="s">
        <v>130</v>
      </c>
      <c r="B132">
        <v>70</v>
      </c>
      <c r="C132">
        <v>351</v>
      </c>
      <c r="D132">
        <v>351</v>
      </c>
    </row>
    <row r="133" spans="1:55" x14ac:dyDescent="0.25">
      <c r="A133" t="s">
        <v>131</v>
      </c>
      <c r="B133">
        <v>117</v>
      </c>
      <c r="C133">
        <v>612</v>
      </c>
      <c r="D133">
        <v>612</v>
      </c>
    </row>
    <row r="134" spans="1:55" x14ac:dyDescent="0.25">
      <c r="A134" t="s">
        <v>132</v>
      </c>
      <c r="B134">
        <v>92</v>
      </c>
      <c r="C134">
        <v>586</v>
      </c>
      <c r="D134">
        <v>586</v>
      </c>
    </row>
    <row r="135" spans="1:55" x14ac:dyDescent="0.25">
      <c r="A135" t="s">
        <v>10</v>
      </c>
      <c r="B135">
        <v>147</v>
      </c>
      <c r="C135">
        <v>806</v>
      </c>
      <c r="D135">
        <v>806</v>
      </c>
    </row>
    <row r="136" spans="1:55" x14ac:dyDescent="0.25">
      <c r="A136" t="s">
        <v>133</v>
      </c>
      <c r="B136">
        <v>147</v>
      </c>
      <c r="C136">
        <v>916</v>
      </c>
      <c r="D136">
        <v>916</v>
      </c>
    </row>
    <row r="137" spans="1:55" x14ac:dyDescent="0.25">
      <c r="A137" t="s">
        <v>21</v>
      </c>
      <c r="B137">
        <v>66</v>
      </c>
      <c r="C137">
        <v>515</v>
      </c>
      <c r="D137">
        <v>515</v>
      </c>
    </row>
    <row r="138" spans="1:55" x14ac:dyDescent="0.25">
      <c r="A138" t="s">
        <v>134</v>
      </c>
      <c r="B138">
        <v>73</v>
      </c>
      <c r="C138">
        <v>362</v>
      </c>
      <c r="D138">
        <v>362</v>
      </c>
    </row>
    <row r="139" spans="1:55" x14ac:dyDescent="0.25">
      <c r="A139" t="s">
        <v>135</v>
      </c>
      <c r="B139">
        <v>40</v>
      </c>
      <c r="C139">
        <v>281</v>
      </c>
      <c r="D139">
        <v>281</v>
      </c>
    </row>
    <row r="140" spans="1:55" x14ac:dyDescent="0.25">
      <c r="A140" t="s">
        <v>136</v>
      </c>
      <c r="B140">
        <v>297</v>
      </c>
      <c r="C140">
        <v>1798</v>
      </c>
      <c r="D140">
        <v>1798</v>
      </c>
    </row>
    <row r="141" spans="1:55" x14ac:dyDescent="0.25">
      <c r="A141" t="s">
        <v>137</v>
      </c>
      <c r="B141">
        <v>99</v>
      </c>
      <c r="C141">
        <v>602</v>
      </c>
      <c r="D141">
        <v>602</v>
      </c>
    </row>
    <row r="142" spans="1:55" x14ac:dyDescent="0.25">
      <c r="A142" t="s">
        <v>138</v>
      </c>
      <c r="B142">
        <v>57</v>
      </c>
      <c r="C142">
        <v>376</v>
      </c>
      <c r="D142">
        <v>376</v>
      </c>
    </row>
    <row r="143" spans="1:55" x14ac:dyDescent="0.25">
      <c r="A143" t="s">
        <v>139</v>
      </c>
      <c r="B143">
        <v>2273</v>
      </c>
      <c r="C143">
        <v>12865</v>
      </c>
      <c r="D143">
        <v>12868</v>
      </c>
      <c r="E143">
        <v>1303</v>
      </c>
      <c r="F143">
        <v>691</v>
      </c>
      <c r="G143">
        <v>612</v>
      </c>
      <c r="H143">
        <v>1448</v>
      </c>
      <c r="I143">
        <v>802</v>
      </c>
      <c r="J143">
        <v>646</v>
      </c>
      <c r="K143">
        <v>1581</v>
      </c>
      <c r="L143">
        <v>848</v>
      </c>
      <c r="M143">
        <v>733</v>
      </c>
      <c r="N143">
        <v>1473</v>
      </c>
      <c r="O143">
        <v>786</v>
      </c>
      <c r="P143">
        <v>687</v>
      </c>
      <c r="Q143">
        <v>1350</v>
      </c>
      <c r="R143">
        <v>695</v>
      </c>
      <c r="S143">
        <v>655</v>
      </c>
      <c r="T143">
        <v>1100</v>
      </c>
      <c r="U143">
        <v>610</v>
      </c>
      <c r="V143">
        <v>490</v>
      </c>
      <c r="W143">
        <v>763</v>
      </c>
      <c r="X143">
        <v>423</v>
      </c>
      <c r="Y143">
        <v>340</v>
      </c>
      <c r="Z143">
        <v>687</v>
      </c>
      <c r="AA143">
        <v>348</v>
      </c>
      <c r="AB143">
        <v>339</v>
      </c>
      <c r="AC143">
        <f>1+663</f>
        <v>664</v>
      </c>
      <c r="AD143">
        <f>1+324</f>
        <v>325</v>
      </c>
      <c r="AE143">
        <v>339</v>
      </c>
      <c r="AF143">
        <f>1+515</f>
        <v>516</v>
      </c>
      <c r="AG143">
        <v>253</v>
      </c>
      <c r="AH143">
        <f>1+262</f>
        <v>263</v>
      </c>
      <c r="AI143">
        <v>439</v>
      </c>
      <c r="AJ143">
        <v>210</v>
      </c>
      <c r="AK143">
        <v>229</v>
      </c>
      <c r="AL143">
        <f>1+461</f>
        <v>462</v>
      </c>
      <c r="AM143">
        <v>225</v>
      </c>
      <c r="AN143">
        <f>1+236</f>
        <v>237</v>
      </c>
      <c r="AO143">
        <v>354</v>
      </c>
      <c r="AP143">
        <v>173</v>
      </c>
      <c r="AQ143">
        <v>181</v>
      </c>
      <c r="AR143">
        <v>258</v>
      </c>
      <c r="AS143">
        <v>131</v>
      </c>
      <c r="AT143">
        <v>127</v>
      </c>
      <c r="AU143">
        <v>190</v>
      </c>
      <c r="AV143">
        <v>89</v>
      </c>
      <c r="AW143">
        <v>101</v>
      </c>
      <c r="AX143">
        <v>143</v>
      </c>
      <c r="AY143">
        <v>66</v>
      </c>
      <c r="AZ143">
        <v>77</v>
      </c>
      <c r="BA143">
        <v>137</v>
      </c>
      <c r="BB143">
        <v>70</v>
      </c>
      <c r="BC143">
        <v>67</v>
      </c>
    </row>
    <row r="144" spans="1:55" x14ac:dyDescent="0.25">
      <c r="A144" t="s">
        <v>140</v>
      </c>
      <c r="B144">
        <v>72</v>
      </c>
      <c r="C144">
        <v>467</v>
      </c>
      <c r="D144">
        <v>467</v>
      </c>
    </row>
    <row r="145" spans="1:4" x14ac:dyDescent="0.25">
      <c r="A145" t="s">
        <v>141</v>
      </c>
      <c r="B145">
        <v>113</v>
      </c>
      <c r="C145">
        <v>535</v>
      </c>
      <c r="D145">
        <v>535</v>
      </c>
    </row>
    <row r="146" spans="1:4" x14ac:dyDescent="0.25">
      <c r="A146" t="s">
        <v>142</v>
      </c>
      <c r="B146">
        <v>204</v>
      </c>
      <c r="C146">
        <v>1203</v>
      </c>
      <c r="D146">
        <v>1203</v>
      </c>
    </row>
    <row r="147" spans="1:4" x14ac:dyDescent="0.25">
      <c r="A147" t="s">
        <v>143</v>
      </c>
      <c r="B147">
        <v>75</v>
      </c>
      <c r="C147">
        <v>437</v>
      </c>
      <c r="D147">
        <v>437</v>
      </c>
    </row>
    <row r="148" spans="1:4" x14ac:dyDescent="0.25">
      <c r="A148" t="s">
        <v>144</v>
      </c>
      <c r="B148">
        <v>126</v>
      </c>
      <c r="C148">
        <v>598</v>
      </c>
      <c r="D148">
        <v>598</v>
      </c>
    </row>
    <row r="149" spans="1:4" x14ac:dyDescent="0.25">
      <c r="A149" t="s">
        <v>145</v>
      </c>
      <c r="B149">
        <v>201</v>
      </c>
      <c r="C149">
        <v>1025</v>
      </c>
      <c r="D149">
        <v>1025</v>
      </c>
    </row>
    <row r="150" spans="1:4" x14ac:dyDescent="0.25">
      <c r="A150" t="s">
        <v>146</v>
      </c>
      <c r="B150">
        <v>127</v>
      </c>
      <c r="C150">
        <v>732</v>
      </c>
      <c r="D150">
        <v>732</v>
      </c>
    </row>
    <row r="151" spans="1:4" x14ac:dyDescent="0.25">
      <c r="A151" t="s">
        <v>147</v>
      </c>
      <c r="B151">
        <v>102</v>
      </c>
      <c r="C151">
        <v>692</v>
      </c>
      <c r="D151">
        <v>692</v>
      </c>
    </row>
    <row r="152" spans="1:4" x14ac:dyDescent="0.25">
      <c r="A152" t="s">
        <v>148</v>
      </c>
      <c r="B152">
        <v>94</v>
      </c>
      <c r="C152">
        <v>507</v>
      </c>
      <c r="D152">
        <v>507</v>
      </c>
    </row>
    <row r="153" spans="1:4" x14ac:dyDescent="0.25">
      <c r="A153" t="s">
        <v>149</v>
      </c>
      <c r="B153">
        <v>104</v>
      </c>
      <c r="C153">
        <v>631</v>
      </c>
      <c r="D153">
        <v>631</v>
      </c>
    </row>
    <row r="154" spans="1:4" x14ac:dyDescent="0.25">
      <c r="A154" t="s">
        <v>150</v>
      </c>
      <c r="B154">
        <v>145</v>
      </c>
      <c r="C154">
        <v>690</v>
      </c>
      <c r="D154">
        <v>690</v>
      </c>
    </row>
    <row r="155" spans="1:4" x14ac:dyDescent="0.25">
      <c r="A155" t="s">
        <v>21</v>
      </c>
      <c r="B155">
        <v>162</v>
      </c>
      <c r="C155">
        <v>945</v>
      </c>
      <c r="D155">
        <v>948</v>
      </c>
    </row>
    <row r="156" spans="1:4" x14ac:dyDescent="0.25">
      <c r="A156" t="s">
        <v>151</v>
      </c>
      <c r="B156">
        <v>98</v>
      </c>
      <c r="C156">
        <v>566</v>
      </c>
      <c r="D156">
        <v>566</v>
      </c>
    </row>
    <row r="157" spans="1:4" x14ac:dyDescent="0.25">
      <c r="A157" t="s">
        <v>152</v>
      </c>
      <c r="B157">
        <v>100</v>
      </c>
      <c r="C157">
        <v>568</v>
      </c>
      <c r="D157">
        <v>568</v>
      </c>
    </row>
    <row r="158" spans="1:4" x14ac:dyDescent="0.25">
      <c r="A158" t="s">
        <v>153</v>
      </c>
      <c r="B158">
        <v>94</v>
      </c>
      <c r="C158">
        <v>570</v>
      </c>
      <c r="D158">
        <v>570</v>
      </c>
    </row>
    <row r="159" spans="1:4" x14ac:dyDescent="0.25">
      <c r="A159" t="s">
        <v>154</v>
      </c>
      <c r="B159">
        <v>90</v>
      </c>
      <c r="C159">
        <v>523</v>
      </c>
      <c r="D159">
        <v>523</v>
      </c>
    </row>
    <row r="160" spans="1:4" x14ac:dyDescent="0.25">
      <c r="A160" t="s">
        <v>155</v>
      </c>
      <c r="B160">
        <v>103</v>
      </c>
      <c r="C160">
        <v>490</v>
      </c>
      <c r="D160">
        <v>490</v>
      </c>
    </row>
    <row r="161" spans="1:4" x14ac:dyDescent="0.25">
      <c r="A161" t="s">
        <v>156</v>
      </c>
      <c r="B161">
        <v>50</v>
      </c>
      <c r="C161">
        <v>297</v>
      </c>
      <c r="D161">
        <v>297</v>
      </c>
    </row>
    <row r="162" spans="1:4" x14ac:dyDescent="0.25">
      <c r="A162" t="s">
        <v>157</v>
      </c>
      <c r="B162">
        <v>52</v>
      </c>
      <c r="C162">
        <v>327</v>
      </c>
      <c r="D162">
        <v>327</v>
      </c>
    </row>
    <row r="163" spans="1:4" x14ac:dyDescent="0.25">
      <c r="A163" t="s">
        <v>158</v>
      </c>
      <c r="B163">
        <v>161</v>
      </c>
      <c r="C163">
        <v>1062</v>
      </c>
      <c r="D163">
        <v>1062</v>
      </c>
    </row>
  </sheetData>
  <mergeCells count="17">
    <mergeCell ref="AL1:AN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O1:AQ1"/>
    <mergeCell ref="AR1:AT1"/>
    <mergeCell ref="AU1:AW1"/>
    <mergeCell ref="AX1:AZ1"/>
    <mergeCell ref="BA1:B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4CD5-039F-4E5F-8230-9EA181190853}">
  <dimension ref="A1:BD164"/>
  <sheetViews>
    <sheetView tabSelected="1" zoomScaleNormal="100" workbookViewId="0">
      <selection activeCell="E5" sqref="E5"/>
    </sheetView>
  </sheetViews>
  <sheetFormatPr defaultRowHeight="15" x14ac:dyDescent="0.25"/>
  <cols>
    <col min="1" max="1" width="39.7109375" bestFit="1" customWidth="1"/>
    <col min="2" max="2" width="9.85546875" bestFit="1" customWidth="1"/>
    <col min="3" max="3" width="13.85546875" bestFit="1" customWidth="1"/>
    <col min="4" max="4" width="15.7109375" bestFit="1" customWidth="1"/>
    <col min="5" max="5" width="15.7109375" customWidth="1"/>
  </cols>
  <sheetData>
    <row r="1" spans="1:56" x14ac:dyDescent="0.25">
      <c r="F1" s="3" t="s">
        <v>164</v>
      </c>
      <c r="G1" s="3"/>
      <c r="H1" s="3"/>
      <c r="I1" s="3" t="s">
        <v>499</v>
      </c>
      <c r="J1" s="3"/>
      <c r="K1" s="3"/>
      <c r="L1" s="3" t="s">
        <v>500</v>
      </c>
      <c r="M1" s="3"/>
      <c r="N1" s="3"/>
      <c r="O1" s="3" t="s">
        <v>165</v>
      </c>
      <c r="P1" s="3"/>
      <c r="Q1" s="3"/>
      <c r="R1" s="3" t="s">
        <v>166</v>
      </c>
      <c r="S1" s="3"/>
      <c r="T1" s="3"/>
      <c r="U1" s="3" t="s">
        <v>167</v>
      </c>
      <c r="V1" s="3"/>
      <c r="W1" s="3"/>
      <c r="X1" s="3" t="s">
        <v>168</v>
      </c>
      <c r="Y1" s="3"/>
      <c r="Z1" s="3"/>
      <c r="AA1" s="3" t="s">
        <v>169</v>
      </c>
      <c r="AB1" s="3"/>
      <c r="AC1" s="3"/>
      <c r="AD1" s="3" t="s">
        <v>170</v>
      </c>
      <c r="AE1" s="3"/>
      <c r="AF1" s="3"/>
      <c r="AG1" s="3" t="s">
        <v>171</v>
      </c>
      <c r="AH1" s="3"/>
      <c r="AI1" s="3"/>
      <c r="AJ1" s="3" t="s">
        <v>172</v>
      </c>
      <c r="AK1" s="3"/>
      <c r="AL1" s="3"/>
      <c r="AM1" s="3" t="s">
        <v>173</v>
      </c>
      <c r="AN1" s="3"/>
      <c r="AO1" s="3"/>
      <c r="AP1" s="3" t="s">
        <v>174</v>
      </c>
      <c r="AQ1" s="3"/>
      <c r="AR1" s="3"/>
      <c r="AS1" s="3" t="s">
        <v>175</v>
      </c>
      <c r="AT1" s="3"/>
      <c r="AU1" s="3"/>
      <c r="AV1" s="3" t="s">
        <v>176</v>
      </c>
      <c r="AW1" s="3"/>
      <c r="AX1" s="3"/>
      <c r="AY1" s="3" t="s">
        <v>177</v>
      </c>
      <c r="AZ1" s="3"/>
      <c r="BA1" s="3"/>
      <c r="BB1" s="3" t="s">
        <v>501</v>
      </c>
      <c r="BC1" s="3"/>
      <c r="BD1" s="3"/>
    </row>
    <row r="2" spans="1:56" x14ac:dyDescent="0.25">
      <c r="B2" t="s">
        <v>159</v>
      </c>
      <c r="C2" t="s">
        <v>160</v>
      </c>
      <c r="D2" t="s">
        <v>161</v>
      </c>
      <c r="F2" t="s">
        <v>498</v>
      </c>
      <c r="G2" t="s">
        <v>162</v>
      </c>
      <c r="H2" t="s">
        <v>163</v>
      </c>
      <c r="I2" t="s">
        <v>498</v>
      </c>
      <c r="J2" t="s">
        <v>162</v>
      </c>
      <c r="K2" t="s">
        <v>163</v>
      </c>
      <c r="L2" t="s">
        <v>498</v>
      </c>
      <c r="M2" t="s">
        <v>162</v>
      </c>
      <c r="N2" t="s">
        <v>163</v>
      </c>
      <c r="O2" t="s">
        <v>498</v>
      </c>
      <c r="P2" t="s">
        <v>162</v>
      </c>
      <c r="Q2" t="s">
        <v>163</v>
      </c>
      <c r="R2" t="s">
        <v>498</v>
      </c>
      <c r="S2" t="s">
        <v>162</v>
      </c>
      <c r="T2" t="s">
        <v>163</v>
      </c>
      <c r="U2" t="s">
        <v>498</v>
      </c>
      <c r="V2" t="s">
        <v>162</v>
      </c>
      <c r="W2" t="s">
        <v>163</v>
      </c>
      <c r="X2" t="s">
        <v>498</v>
      </c>
      <c r="Y2" t="s">
        <v>162</v>
      </c>
      <c r="Z2" t="s">
        <v>163</v>
      </c>
      <c r="AA2" t="s">
        <v>498</v>
      </c>
      <c r="AB2" t="s">
        <v>162</v>
      </c>
      <c r="AC2" t="s">
        <v>163</v>
      </c>
      <c r="AD2" t="s">
        <v>498</v>
      </c>
      <c r="AE2" t="s">
        <v>162</v>
      </c>
      <c r="AF2" t="s">
        <v>163</v>
      </c>
      <c r="AG2" t="s">
        <v>498</v>
      </c>
      <c r="AH2" t="s">
        <v>162</v>
      </c>
      <c r="AI2" t="s">
        <v>163</v>
      </c>
      <c r="AJ2" t="s">
        <v>498</v>
      </c>
      <c r="AK2" t="s">
        <v>162</v>
      </c>
      <c r="AL2" t="s">
        <v>163</v>
      </c>
      <c r="AM2" t="s">
        <v>498</v>
      </c>
      <c r="AN2" t="s">
        <v>162</v>
      </c>
      <c r="AO2" t="s">
        <v>163</v>
      </c>
      <c r="AP2" t="s">
        <v>498</v>
      </c>
      <c r="AQ2" t="s">
        <v>162</v>
      </c>
      <c r="AR2" t="s">
        <v>163</v>
      </c>
      <c r="AS2" t="s">
        <v>498</v>
      </c>
      <c r="AT2" t="s">
        <v>162</v>
      </c>
      <c r="AU2" t="s">
        <v>163</v>
      </c>
      <c r="AV2" t="s">
        <v>498</v>
      </c>
      <c r="AW2" t="s">
        <v>162</v>
      </c>
      <c r="AX2" t="s">
        <v>163</v>
      </c>
      <c r="AY2" t="s">
        <v>498</v>
      </c>
      <c r="AZ2" t="s">
        <v>162</v>
      </c>
      <c r="BA2" t="s">
        <v>163</v>
      </c>
      <c r="BB2" t="s">
        <v>498</v>
      </c>
      <c r="BC2" t="s">
        <v>162</v>
      </c>
      <c r="BD2" t="s">
        <v>163</v>
      </c>
    </row>
    <row r="3" spans="1:56" x14ac:dyDescent="0.25">
      <c r="A3" t="s">
        <v>0</v>
      </c>
      <c r="B3">
        <v>48079</v>
      </c>
      <c r="C3">
        <v>229328</v>
      </c>
      <c r="D3">
        <v>229570</v>
      </c>
      <c r="F3">
        <v>22218</v>
      </c>
      <c r="G3">
        <v>11517</v>
      </c>
      <c r="H3">
        <v>10701</v>
      </c>
      <c r="I3">
        <v>23620</v>
      </c>
      <c r="J3">
        <v>12261</v>
      </c>
      <c r="K3">
        <v>11359</v>
      </c>
      <c r="L3">
        <v>24173</v>
      </c>
      <c r="M3">
        <v>12607</v>
      </c>
      <c r="N3">
        <v>11566</v>
      </c>
      <c r="O3">
        <v>24196</v>
      </c>
      <c r="P3">
        <v>12376</v>
      </c>
      <c r="Q3">
        <v>11820</v>
      </c>
      <c r="R3">
        <v>22535</v>
      </c>
      <c r="S3">
        <v>11630</v>
      </c>
      <c r="T3">
        <v>10905</v>
      </c>
      <c r="U3">
        <v>19826</v>
      </c>
      <c r="V3">
        <v>10366</v>
      </c>
      <c r="W3">
        <v>9460</v>
      </c>
      <c r="X3">
        <v>16853</v>
      </c>
      <c r="Y3">
        <v>9082</v>
      </c>
      <c r="Z3">
        <v>7771</v>
      </c>
      <c r="AA3">
        <v>14064</v>
      </c>
      <c r="AB3">
        <v>7500</v>
      </c>
      <c r="AC3">
        <v>6564</v>
      </c>
      <c r="AD3">
        <v>12536</v>
      </c>
      <c r="AE3">
        <v>6698</v>
      </c>
      <c r="AF3">
        <v>5838</v>
      </c>
      <c r="AG3">
        <v>10914</v>
      </c>
      <c r="AH3">
        <v>5667</v>
      </c>
      <c r="AI3">
        <v>5247</v>
      </c>
      <c r="AJ3">
        <v>9848</v>
      </c>
      <c r="AK3">
        <v>5022</v>
      </c>
      <c r="AL3">
        <v>4826</v>
      </c>
      <c r="AM3">
        <v>8279</v>
      </c>
      <c r="AN3">
        <v>4287</v>
      </c>
      <c r="AO3">
        <v>3992</v>
      </c>
      <c r="AP3">
        <v>6952</v>
      </c>
      <c r="AQ3">
        <v>3387</v>
      </c>
      <c r="AR3">
        <v>3565</v>
      </c>
      <c r="AS3">
        <v>5188</v>
      </c>
      <c r="AT3">
        <v>2587</v>
      </c>
      <c r="AU3">
        <v>2601</v>
      </c>
      <c r="AV3">
        <v>3385</v>
      </c>
      <c r="AW3">
        <v>1574</v>
      </c>
      <c r="AX3">
        <v>1811</v>
      </c>
      <c r="AY3">
        <v>2174</v>
      </c>
      <c r="AZ3">
        <v>952</v>
      </c>
      <c r="BA3">
        <v>1222</v>
      </c>
      <c r="BB3">
        <v>2567</v>
      </c>
      <c r="BC3">
        <v>1026</v>
      </c>
      <c r="BD3">
        <v>1541</v>
      </c>
    </row>
    <row r="4" spans="1:56" x14ac:dyDescent="0.25">
      <c r="A4" t="s">
        <v>181</v>
      </c>
      <c r="B4">
        <v>2528</v>
      </c>
      <c r="C4">
        <v>12900</v>
      </c>
      <c r="D4">
        <v>12914</v>
      </c>
      <c r="E4">
        <f>F4+I4+L4+O4+R4+U4+X4+AA4+AD4+AG4+AJ4+AM4+AP4+AS4+AV4+AY4+BB4</f>
        <v>12914</v>
      </c>
      <c r="F4">
        <v>1062</v>
      </c>
      <c r="G4">
        <v>570</v>
      </c>
      <c r="H4">
        <v>492</v>
      </c>
      <c r="I4">
        <v>1144</v>
      </c>
      <c r="J4">
        <v>555</v>
      </c>
      <c r="K4">
        <v>589</v>
      </c>
      <c r="L4">
        <v>1261</v>
      </c>
      <c r="M4">
        <v>657</v>
      </c>
      <c r="N4">
        <v>604</v>
      </c>
      <c r="O4">
        <v>1204</v>
      </c>
      <c r="P4">
        <v>647</v>
      </c>
      <c r="Q4">
        <v>557</v>
      </c>
      <c r="R4">
        <v>1179</v>
      </c>
      <c r="S4">
        <v>667</v>
      </c>
      <c r="T4">
        <v>512</v>
      </c>
      <c r="U4">
        <f>2+1058</f>
        <v>1060</v>
      </c>
      <c r="V4">
        <f>2+575</f>
        <v>577</v>
      </c>
      <c r="W4">
        <v>483</v>
      </c>
      <c r="X4">
        <f>3+917</f>
        <v>920</v>
      </c>
      <c r="Y4">
        <f>3+537</f>
        <v>540</v>
      </c>
      <c r="Z4">
        <v>380</v>
      </c>
      <c r="AA4">
        <f>5+725</f>
        <v>730</v>
      </c>
      <c r="AB4">
        <f>5+415</f>
        <v>420</v>
      </c>
      <c r="AC4">
        <v>310</v>
      </c>
      <c r="AD4">
        <f>3+704</f>
        <v>707</v>
      </c>
      <c r="AE4">
        <f>3+414</f>
        <v>417</v>
      </c>
      <c r="AF4">
        <v>290</v>
      </c>
      <c r="AG4">
        <f>1+643</f>
        <v>644</v>
      </c>
      <c r="AH4">
        <f>1+356</f>
        <v>357</v>
      </c>
      <c r="AI4">
        <v>287</v>
      </c>
      <c r="AJ4">
        <v>685</v>
      </c>
      <c r="AK4">
        <v>364</v>
      </c>
      <c r="AL4">
        <v>321</v>
      </c>
      <c r="AM4">
        <v>648</v>
      </c>
      <c r="AN4">
        <v>363</v>
      </c>
      <c r="AO4">
        <v>285</v>
      </c>
      <c r="AP4">
        <v>512</v>
      </c>
      <c r="AQ4">
        <v>278</v>
      </c>
      <c r="AR4">
        <v>234</v>
      </c>
      <c r="AS4">
        <v>389</v>
      </c>
      <c r="AT4">
        <v>207</v>
      </c>
      <c r="AU4">
        <v>182</v>
      </c>
      <c r="AV4">
        <v>294</v>
      </c>
      <c r="AW4">
        <v>142</v>
      </c>
      <c r="AX4">
        <v>152</v>
      </c>
      <c r="AY4">
        <v>236</v>
      </c>
      <c r="AZ4">
        <v>96</v>
      </c>
      <c r="BA4">
        <v>140</v>
      </c>
      <c r="BB4">
        <v>239</v>
      </c>
      <c r="BC4">
        <v>110</v>
      </c>
      <c r="BD4">
        <v>129</v>
      </c>
    </row>
    <row r="5" spans="1:56" x14ac:dyDescent="0.25">
      <c r="A5" t="s">
        <v>182</v>
      </c>
      <c r="B5">
        <v>87</v>
      </c>
      <c r="C5">
        <v>445</v>
      </c>
      <c r="D5">
        <v>445</v>
      </c>
    </row>
    <row r="6" spans="1:56" x14ac:dyDescent="0.25">
      <c r="A6" t="s">
        <v>183</v>
      </c>
      <c r="B6">
        <v>311</v>
      </c>
      <c r="C6">
        <v>1655</v>
      </c>
      <c r="D6">
        <v>1655</v>
      </c>
    </row>
    <row r="7" spans="1:56" x14ac:dyDescent="0.25">
      <c r="A7" t="s">
        <v>184</v>
      </c>
      <c r="B7">
        <v>212</v>
      </c>
      <c r="C7">
        <v>1103</v>
      </c>
      <c r="D7">
        <v>1103</v>
      </c>
    </row>
    <row r="8" spans="1:56" x14ac:dyDescent="0.25">
      <c r="A8" t="s">
        <v>185</v>
      </c>
      <c r="B8">
        <v>187</v>
      </c>
      <c r="C8">
        <v>819</v>
      </c>
      <c r="D8">
        <v>819</v>
      </c>
    </row>
    <row r="9" spans="1:56" x14ac:dyDescent="0.25">
      <c r="A9" t="s">
        <v>186</v>
      </c>
      <c r="B9">
        <v>203</v>
      </c>
      <c r="C9">
        <v>1040</v>
      </c>
      <c r="D9">
        <v>1040</v>
      </c>
    </row>
    <row r="10" spans="1:56" x14ac:dyDescent="0.25">
      <c r="A10" t="s">
        <v>187</v>
      </c>
      <c r="B10">
        <v>121</v>
      </c>
      <c r="C10">
        <v>603</v>
      </c>
      <c r="D10">
        <v>603</v>
      </c>
    </row>
    <row r="11" spans="1:56" x14ac:dyDescent="0.25">
      <c r="A11" t="s">
        <v>188</v>
      </c>
      <c r="B11">
        <v>183</v>
      </c>
      <c r="C11">
        <v>1067</v>
      </c>
      <c r="D11">
        <v>1067</v>
      </c>
    </row>
    <row r="12" spans="1:56" x14ac:dyDescent="0.25">
      <c r="A12" t="s">
        <v>189</v>
      </c>
      <c r="B12">
        <v>132</v>
      </c>
      <c r="C12">
        <v>616</v>
      </c>
      <c r="D12">
        <v>616</v>
      </c>
    </row>
    <row r="13" spans="1:56" x14ac:dyDescent="0.25">
      <c r="A13" t="s">
        <v>190</v>
      </c>
      <c r="B13">
        <v>89</v>
      </c>
      <c r="C13">
        <v>465</v>
      </c>
      <c r="D13">
        <v>465</v>
      </c>
    </row>
    <row r="14" spans="1:56" x14ac:dyDescent="0.25">
      <c r="A14" t="s">
        <v>191</v>
      </c>
      <c r="B14">
        <v>206</v>
      </c>
      <c r="C14">
        <v>1179</v>
      </c>
      <c r="D14">
        <v>1179</v>
      </c>
    </row>
    <row r="15" spans="1:56" x14ac:dyDescent="0.25">
      <c r="A15" t="s">
        <v>192</v>
      </c>
      <c r="B15">
        <v>211</v>
      </c>
      <c r="C15">
        <v>1036</v>
      </c>
      <c r="D15">
        <v>1036</v>
      </c>
    </row>
    <row r="16" spans="1:56" x14ac:dyDescent="0.25">
      <c r="A16" t="s">
        <v>193</v>
      </c>
      <c r="B16">
        <v>301</v>
      </c>
      <c r="C16">
        <v>1395</v>
      </c>
      <c r="D16">
        <v>1397</v>
      </c>
    </row>
    <row r="17" spans="1:56" x14ac:dyDescent="0.25">
      <c r="A17" t="s">
        <v>194</v>
      </c>
      <c r="B17">
        <v>106</v>
      </c>
      <c r="C17">
        <v>603</v>
      </c>
      <c r="D17">
        <v>603</v>
      </c>
    </row>
    <row r="18" spans="1:56" x14ac:dyDescent="0.25">
      <c r="A18" t="s">
        <v>195</v>
      </c>
      <c r="B18">
        <v>179</v>
      </c>
      <c r="C18">
        <v>874</v>
      </c>
      <c r="D18">
        <v>886</v>
      </c>
    </row>
    <row r="19" spans="1:56" x14ac:dyDescent="0.25">
      <c r="A19" t="s">
        <v>196</v>
      </c>
      <c r="B19">
        <v>1982</v>
      </c>
      <c r="C19">
        <v>9312</v>
      </c>
      <c r="D19">
        <v>9323</v>
      </c>
      <c r="F19">
        <v>845</v>
      </c>
      <c r="G19">
        <v>442</v>
      </c>
      <c r="H19">
        <v>403</v>
      </c>
      <c r="I19">
        <v>948</v>
      </c>
      <c r="J19">
        <v>478</v>
      </c>
      <c r="K19">
        <v>470</v>
      </c>
      <c r="L19">
        <v>899</v>
      </c>
      <c r="M19">
        <v>465</v>
      </c>
      <c r="N19">
        <v>434</v>
      </c>
      <c r="O19">
        <v>917</v>
      </c>
      <c r="P19">
        <v>466</v>
      </c>
      <c r="Q19">
        <v>451</v>
      </c>
      <c r="R19">
        <v>900</v>
      </c>
      <c r="S19">
        <v>467</v>
      </c>
      <c r="T19">
        <v>433</v>
      </c>
      <c r="U19">
        <v>813</v>
      </c>
      <c r="V19">
        <v>464</v>
      </c>
      <c r="W19">
        <v>349</v>
      </c>
      <c r="X19">
        <v>663</v>
      </c>
      <c r="Y19">
        <v>385</v>
      </c>
      <c r="Z19">
        <v>278</v>
      </c>
      <c r="AA19">
        <v>564</v>
      </c>
      <c r="AB19">
        <v>347</v>
      </c>
      <c r="AC19">
        <v>217</v>
      </c>
      <c r="AD19">
        <v>534</v>
      </c>
      <c r="AE19">
        <v>295</v>
      </c>
      <c r="AF19">
        <v>239</v>
      </c>
      <c r="AG19">
        <v>457</v>
      </c>
      <c r="AH19">
        <v>223</v>
      </c>
      <c r="AI19">
        <v>234</v>
      </c>
      <c r="AJ19">
        <v>419</v>
      </c>
      <c r="AK19">
        <v>211</v>
      </c>
      <c r="AL19">
        <v>208</v>
      </c>
      <c r="AM19">
        <v>346</v>
      </c>
      <c r="AN19">
        <v>182</v>
      </c>
      <c r="AO19">
        <v>164</v>
      </c>
      <c r="AP19">
        <v>304</v>
      </c>
      <c r="AQ19">
        <v>151</v>
      </c>
      <c r="AR19">
        <v>153</v>
      </c>
      <c r="AS19">
        <v>248</v>
      </c>
      <c r="AT19">
        <v>133</v>
      </c>
      <c r="AU19">
        <v>115</v>
      </c>
      <c r="AV19">
        <v>183</v>
      </c>
      <c r="AW19">
        <v>82</v>
      </c>
      <c r="AX19">
        <v>101</v>
      </c>
      <c r="AY19">
        <v>135</v>
      </c>
      <c r="AZ19">
        <v>50</v>
      </c>
      <c r="BA19">
        <v>85</v>
      </c>
      <c r="BB19">
        <v>137</v>
      </c>
      <c r="BC19">
        <v>52</v>
      </c>
      <c r="BD19">
        <v>85</v>
      </c>
    </row>
    <row r="20" spans="1:56" x14ac:dyDescent="0.25">
      <c r="A20" t="s">
        <v>197</v>
      </c>
      <c r="B20">
        <v>287</v>
      </c>
      <c r="C20">
        <v>1331</v>
      </c>
      <c r="D20">
        <v>1337</v>
      </c>
    </row>
    <row r="21" spans="1:56" x14ac:dyDescent="0.25">
      <c r="A21" t="s">
        <v>198</v>
      </c>
      <c r="B21">
        <v>309</v>
      </c>
      <c r="C21">
        <v>1479</v>
      </c>
      <c r="D21">
        <v>1479</v>
      </c>
    </row>
    <row r="22" spans="1:56" x14ac:dyDescent="0.25">
      <c r="A22" t="s">
        <v>199</v>
      </c>
      <c r="B22">
        <v>132</v>
      </c>
      <c r="C22">
        <v>637</v>
      </c>
      <c r="D22">
        <v>637</v>
      </c>
    </row>
    <row r="23" spans="1:56" x14ac:dyDescent="0.25">
      <c r="A23" t="s">
        <v>200</v>
      </c>
      <c r="B23">
        <v>321</v>
      </c>
      <c r="C23">
        <v>1439</v>
      </c>
      <c r="D23">
        <v>1444</v>
      </c>
    </row>
    <row r="24" spans="1:56" x14ac:dyDescent="0.25">
      <c r="A24" t="s">
        <v>201</v>
      </c>
      <c r="B24">
        <v>145</v>
      </c>
      <c r="C24">
        <v>684</v>
      </c>
      <c r="D24">
        <v>684</v>
      </c>
    </row>
    <row r="25" spans="1:56" x14ac:dyDescent="0.25">
      <c r="A25" t="s">
        <v>202</v>
      </c>
      <c r="B25">
        <v>171</v>
      </c>
      <c r="C25">
        <v>801</v>
      </c>
      <c r="D25">
        <v>801</v>
      </c>
    </row>
    <row r="26" spans="1:56" x14ac:dyDescent="0.25">
      <c r="A26" t="s">
        <v>203</v>
      </c>
      <c r="B26">
        <v>173</v>
      </c>
      <c r="C26">
        <v>850</v>
      </c>
      <c r="D26">
        <v>850</v>
      </c>
    </row>
    <row r="27" spans="1:56" x14ac:dyDescent="0.25">
      <c r="A27" t="s">
        <v>204</v>
      </c>
      <c r="B27">
        <v>188</v>
      </c>
      <c r="C27">
        <v>877</v>
      </c>
      <c r="D27">
        <v>877</v>
      </c>
    </row>
    <row r="28" spans="1:56" x14ac:dyDescent="0.25">
      <c r="A28" t="s">
        <v>205</v>
      </c>
      <c r="B28">
        <v>256</v>
      </c>
      <c r="C28">
        <v>1214</v>
      </c>
      <c r="D28">
        <v>1214</v>
      </c>
    </row>
    <row r="29" spans="1:56" x14ac:dyDescent="0.25">
      <c r="A29" t="s">
        <v>206</v>
      </c>
      <c r="B29">
        <v>2066</v>
      </c>
      <c r="C29">
        <v>10573</v>
      </c>
      <c r="D29">
        <v>10577</v>
      </c>
      <c r="F29">
        <v>899</v>
      </c>
      <c r="G29">
        <v>460</v>
      </c>
      <c r="H29">
        <v>439</v>
      </c>
      <c r="I29">
        <v>1001</v>
      </c>
      <c r="J29">
        <v>509</v>
      </c>
      <c r="K29">
        <v>492</v>
      </c>
      <c r="L29">
        <v>979</v>
      </c>
      <c r="M29">
        <v>532</v>
      </c>
      <c r="N29">
        <v>447</v>
      </c>
      <c r="O29">
        <v>1035</v>
      </c>
      <c r="P29">
        <v>529</v>
      </c>
      <c r="Q29">
        <v>506</v>
      </c>
      <c r="R29">
        <v>1037</v>
      </c>
      <c r="S29">
        <v>553</v>
      </c>
      <c r="T29">
        <v>484</v>
      </c>
      <c r="U29">
        <v>1037</v>
      </c>
      <c r="V29">
        <v>564</v>
      </c>
      <c r="W29">
        <v>473</v>
      </c>
      <c r="X29">
        <v>831</v>
      </c>
      <c r="Y29">
        <v>442</v>
      </c>
      <c r="Z29">
        <v>389</v>
      </c>
      <c r="AA29">
        <v>676</v>
      </c>
      <c r="AB29">
        <v>363</v>
      </c>
      <c r="AC29">
        <v>313</v>
      </c>
      <c r="AD29">
        <v>591</v>
      </c>
      <c r="AE29">
        <v>313</v>
      </c>
      <c r="AF29">
        <v>278</v>
      </c>
      <c r="AG29">
        <v>505</v>
      </c>
      <c r="AH29">
        <v>262</v>
      </c>
      <c r="AI29">
        <v>243</v>
      </c>
      <c r="AJ29">
        <v>477</v>
      </c>
      <c r="AK29">
        <v>265</v>
      </c>
      <c r="AL29">
        <v>212</v>
      </c>
      <c r="AM29">
        <v>385</v>
      </c>
      <c r="AN29">
        <v>209</v>
      </c>
      <c r="AO29">
        <v>176</v>
      </c>
      <c r="AP29">
        <v>343</v>
      </c>
      <c r="AQ29">
        <v>170</v>
      </c>
      <c r="AR29">
        <v>173</v>
      </c>
      <c r="AS29">
        <v>286</v>
      </c>
      <c r="AT29">
        <v>150</v>
      </c>
      <c r="AU29">
        <v>136</v>
      </c>
      <c r="AV29">
        <v>191</v>
      </c>
      <c r="AW29">
        <v>87</v>
      </c>
      <c r="AX29">
        <v>104</v>
      </c>
      <c r="AY29">
        <v>141</v>
      </c>
      <c r="AZ29">
        <v>69</v>
      </c>
      <c r="BA29">
        <v>72</v>
      </c>
      <c r="BB29">
        <v>159</v>
      </c>
      <c r="BC29">
        <v>67</v>
      </c>
      <c r="BD29">
        <v>92</v>
      </c>
    </row>
    <row r="30" spans="1:56" x14ac:dyDescent="0.25">
      <c r="A30" t="s">
        <v>207</v>
      </c>
      <c r="B30">
        <v>106</v>
      </c>
      <c r="C30">
        <v>603</v>
      </c>
      <c r="D30">
        <v>603</v>
      </c>
    </row>
    <row r="31" spans="1:56" x14ac:dyDescent="0.25">
      <c r="A31" t="s">
        <v>208</v>
      </c>
      <c r="B31">
        <v>411</v>
      </c>
      <c r="C31">
        <v>1719</v>
      </c>
      <c r="D31">
        <v>1719</v>
      </c>
    </row>
    <row r="32" spans="1:56" x14ac:dyDescent="0.25">
      <c r="A32" t="s">
        <v>209</v>
      </c>
      <c r="B32">
        <v>205</v>
      </c>
      <c r="C32">
        <v>1094</v>
      </c>
      <c r="D32">
        <v>1094</v>
      </c>
    </row>
    <row r="33" spans="1:56" x14ac:dyDescent="0.25">
      <c r="A33" t="s">
        <v>210</v>
      </c>
      <c r="B33">
        <v>280</v>
      </c>
      <c r="C33">
        <v>1478</v>
      </c>
      <c r="D33">
        <v>1479</v>
      </c>
    </row>
    <row r="34" spans="1:56" x14ac:dyDescent="0.25">
      <c r="A34" t="s">
        <v>211</v>
      </c>
      <c r="B34">
        <v>69</v>
      </c>
      <c r="C34">
        <v>393</v>
      </c>
      <c r="D34">
        <v>393</v>
      </c>
    </row>
    <row r="35" spans="1:56" x14ac:dyDescent="0.25">
      <c r="A35" t="s">
        <v>212</v>
      </c>
      <c r="B35">
        <v>87</v>
      </c>
      <c r="C35">
        <v>405</v>
      </c>
      <c r="D35">
        <v>405</v>
      </c>
    </row>
    <row r="36" spans="1:56" x14ac:dyDescent="0.25">
      <c r="A36" t="s">
        <v>213</v>
      </c>
      <c r="B36">
        <v>105</v>
      </c>
      <c r="C36">
        <v>476</v>
      </c>
      <c r="D36">
        <v>476</v>
      </c>
    </row>
    <row r="37" spans="1:56" x14ac:dyDescent="0.25">
      <c r="A37" t="s">
        <v>214</v>
      </c>
      <c r="B37">
        <v>70</v>
      </c>
      <c r="C37">
        <v>402</v>
      </c>
      <c r="D37">
        <v>403</v>
      </c>
    </row>
    <row r="38" spans="1:56" x14ac:dyDescent="0.25">
      <c r="A38" t="s">
        <v>215</v>
      </c>
      <c r="B38">
        <v>164</v>
      </c>
      <c r="C38">
        <v>977</v>
      </c>
      <c r="D38">
        <v>979</v>
      </c>
    </row>
    <row r="39" spans="1:56" x14ac:dyDescent="0.25">
      <c r="A39" t="s">
        <v>216</v>
      </c>
      <c r="B39">
        <v>137</v>
      </c>
      <c r="C39">
        <v>706</v>
      </c>
      <c r="D39">
        <v>706</v>
      </c>
    </row>
    <row r="40" spans="1:56" x14ac:dyDescent="0.25">
      <c r="A40" t="s">
        <v>217</v>
      </c>
      <c r="B40">
        <v>105</v>
      </c>
      <c r="C40">
        <v>582</v>
      </c>
      <c r="D40">
        <v>582</v>
      </c>
    </row>
    <row r="41" spans="1:56" x14ac:dyDescent="0.25">
      <c r="A41" t="s">
        <v>218</v>
      </c>
      <c r="B41">
        <v>141</v>
      </c>
      <c r="C41">
        <v>767</v>
      </c>
      <c r="D41">
        <v>767</v>
      </c>
    </row>
    <row r="42" spans="1:56" x14ac:dyDescent="0.25">
      <c r="A42" t="s">
        <v>219</v>
      </c>
      <c r="B42">
        <v>90</v>
      </c>
      <c r="C42">
        <v>478</v>
      </c>
      <c r="D42">
        <v>478</v>
      </c>
    </row>
    <row r="43" spans="1:56" x14ac:dyDescent="0.25">
      <c r="A43" t="s">
        <v>220</v>
      </c>
      <c r="B43">
        <v>96</v>
      </c>
      <c r="C43">
        <v>493</v>
      </c>
      <c r="D43">
        <v>493</v>
      </c>
    </row>
    <row r="44" spans="1:56" x14ac:dyDescent="0.25">
      <c r="A44" t="s">
        <v>221</v>
      </c>
      <c r="B44">
        <v>7290</v>
      </c>
      <c r="C44">
        <v>34267</v>
      </c>
      <c r="D44">
        <v>34275</v>
      </c>
      <c r="F44">
        <v>3369</v>
      </c>
      <c r="G44">
        <v>1756</v>
      </c>
      <c r="H44">
        <v>1613</v>
      </c>
      <c r="I44">
        <v>3582</v>
      </c>
      <c r="J44">
        <v>1819</v>
      </c>
      <c r="K44">
        <v>1763</v>
      </c>
      <c r="L44">
        <v>3642</v>
      </c>
      <c r="M44">
        <v>1888</v>
      </c>
      <c r="N44">
        <v>1754</v>
      </c>
      <c r="O44">
        <v>3618</v>
      </c>
      <c r="P44">
        <v>1810</v>
      </c>
      <c r="Q44">
        <v>1808</v>
      </c>
      <c r="R44">
        <v>3386</v>
      </c>
      <c r="S44">
        <v>1834</v>
      </c>
      <c r="T44">
        <v>1552</v>
      </c>
      <c r="U44">
        <v>2911</v>
      </c>
      <c r="V44">
        <v>1558</v>
      </c>
      <c r="W44">
        <v>1353</v>
      </c>
      <c r="X44">
        <v>2509</v>
      </c>
      <c r="Y44">
        <v>1384</v>
      </c>
      <c r="Z44">
        <v>1125</v>
      </c>
      <c r="AA44">
        <v>1923</v>
      </c>
      <c r="AB44">
        <v>1040</v>
      </c>
      <c r="AC44">
        <v>883</v>
      </c>
      <c r="AD44">
        <v>1840</v>
      </c>
      <c r="AE44">
        <v>1004</v>
      </c>
      <c r="AF44">
        <v>836</v>
      </c>
      <c r="AG44">
        <v>1664</v>
      </c>
      <c r="AH44">
        <v>855</v>
      </c>
      <c r="AI44">
        <v>809</v>
      </c>
      <c r="AJ44">
        <v>1518</v>
      </c>
      <c r="AK44">
        <v>785</v>
      </c>
      <c r="AL44">
        <v>733</v>
      </c>
      <c r="AM44">
        <v>1286</v>
      </c>
      <c r="AN44">
        <v>701</v>
      </c>
      <c r="AO44">
        <v>585</v>
      </c>
      <c r="AP44">
        <v>1076</v>
      </c>
      <c r="AQ44">
        <v>539</v>
      </c>
      <c r="AR44">
        <v>537</v>
      </c>
      <c r="AS44">
        <v>764</v>
      </c>
      <c r="AT44">
        <v>397</v>
      </c>
      <c r="AU44">
        <v>367</v>
      </c>
      <c r="AV44">
        <v>485</v>
      </c>
      <c r="AW44">
        <v>235</v>
      </c>
      <c r="AX44">
        <v>250</v>
      </c>
      <c r="AY44">
        <v>320</v>
      </c>
      <c r="AZ44">
        <v>156</v>
      </c>
      <c r="BA44">
        <v>164</v>
      </c>
      <c r="BB44">
        <v>374</v>
      </c>
      <c r="BC44">
        <v>160</v>
      </c>
      <c r="BD44">
        <v>214</v>
      </c>
    </row>
    <row r="45" spans="1:56" x14ac:dyDescent="0.25">
      <c r="A45" t="s">
        <v>222</v>
      </c>
      <c r="B45">
        <v>230</v>
      </c>
      <c r="C45">
        <v>1071</v>
      </c>
      <c r="D45">
        <v>1071</v>
      </c>
    </row>
    <row r="46" spans="1:56" x14ac:dyDescent="0.25">
      <c r="A46" t="s">
        <v>223</v>
      </c>
      <c r="B46">
        <v>312</v>
      </c>
      <c r="C46">
        <v>1647</v>
      </c>
      <c r="D46">
        <v>1648</v>
      </c>
    </row>
    <row r="47" spans="1:56" x14ac:dyDescent="0.25">
      <c r="A47" t="s">
        <v>224</v>
      </c>
      <c r="B47">
        <v>427</v>
      </c>
      <c r="C47">
        <v>1835</v>
      </c>
      <c r="D47">
        <v>1835</v>
      </c>
    </row>
    <row r="48" spans="1:56" x14ac:dyDescent="0.25">
      <c r="A48" t="s">
        <v>225</v>
      </c>
      <c r="B48">
        <v>478</v>
      </c>
      <c r="C48">
        <v>2249</v>
      </c>
      <c r="D48">
        <v>2249</v>
      </c>
    </row>
    <row r="49" spans="1:4" x14ac:dyDescent="0.25">
      <c r="A49" t="s">
        <v>226</v>
      </c>
      <c r="B49">
        <v>136</v>
      </c>
      <c r="C49">
        <v>557</v>
      </c>
      <c r="D49">
        <v>557</v>
      </c>
    </row>
    <row r="50" spans="1:4" x14ac:dyDescent="0.25">
      <c r="A50" t="s">
        <v>227</v>
      </c>
      <c r="B50">
        <v>268</v>
      </c>
      <c r="C50">
        <v>1422</v>
      </c>
      <c r="D50">
        <v>1422</v>
      </c>
    </row>
    <row r="51" spans="1:4" x14ac:dyDescent="0.25">
      <c r="A51" t="s">
        <v>228</v>
      </c>
      <c r="B51">
        <v>409</v>
      </c>
      <c r="C51">
        <v>2028</v>
      </c>
      <c r="D51">
        <v>2028</v>
      </c>
    </row>
    <row r="52" spans="1:4" x14ac:dyDescent="0.25">
      <c r="A52" t="s">
        <v>229</v>
      </c>
      <c r="B52">
        <v>234</v>
      </c>
      <c r="C52">
        <v>1121</v>
      </c>
      <c r="D52">
        <v>1121</v>
      </c>
    </row>
    <row r="53" spans="1:4" x14ac:dyDescent="0.25">
      <c r="A53" t="s">
        <v>230</v>
      </c>
      <c r="B53">
        <v>244</v>
      </c>
      <c r="C53">
        <v>1035</v>
      </c>
      <c r="D53">
        <v>1035</v>
      </c>
    </row>
    <row r="54" spans="1:4" x14ac:dyDescent="0.25">
      <c r="A54" t="s">
        <v>231</v>
      </c>
      <c r="B54">
        <v>443</v>
      </c>
      <c r="C54">
        <v>1890</v>
      </c>
      <c r="D54">
        <v>1890</v>
      </c>
    </row>
    <row r="55" spans="1:4" x14ac:dyDescent="0.25">
      <c r="A55" t="s">
        <v>232</v>
      </c>
      <c r="B55">
        <v>292</v>
      </c>
      <c r="C55">
        <v>1339</v>
      </c>
      <c r="D55">
        <v>1339</v>
      </c>
    </row>
    <row r="56" spans="1:4" x14ac:dyDescent="0.25">
      <c r="A56" t="s">
        <v>233</v>
      </c>
      <c r="B56">
        <v>288</v>
      </c>
      <c r="C56">
        <v>1183</v>
      </c>
      <c r="D56">
        <v>1183</v>
      </c>
    </row>
    <row r="57" spans="1:4" x14ac:dyDescent="0.25">
      <c r="A57" t="s">
        <v>234</v>
      </c>
      <c r="B57">
        <v>196</v>
      </c>
      <c r="C57">
        <v>1000</v>
      </c>
      <c r="D57">
        <v>1000</v>
      </c>
    </row>
    <row r="58" spans="1:4" x14ac:dyDescent="0.25">
      <c r="A58" t="s">
        <v>235</v>
      </c>
      <c r="B58">
        <v>191</v>
      </c>
      <c r="C58">
        <v>992</v>
      </c>
      <c r="D58">
        <v>992</v>
      </c>
    </row>
    <row r="59" spans="1:4" x14ac:dyDescent="0.25">
      <c r="A59" t="s">
        <v>236</v>
      </c>
      <c r="B59">
        <v>163</v>
      </c>
      <c r="C59">
        <v>794</v>
      </c>
      <c r="D59">
        <v>794</v>
      </c>
    </row>
    <row r="60" spans="1:4" x14ac:dyDescent="0.25">
      <c r="A60" t="s">
        <v>237</v>
      </c>
      <c r="B60">
        <v>443</v>
      </c>
      <c r="C60">
        <v>2133</v>
      </c>
      <c r="D60">
        <v>2133</v>
      </c>
    </row>
    <row r="61" spans="1:4" x14ac:dyDescent="0.25">
      <c r="A61" t="s">
        <v>238</v>
      </c>
      <c r="B61">
        <v>225</v>
      </c>
      <c r="C61">
        <v>988</v>
      </c>
      <c r="D61">
        <v>988</v>
      </c>
    </row>
    <row r="62" spans="1:4" x14ac:dyDescent="0.25">
      <c r="A62" t="s">
        <v>239</v>
      </c>
      <c r="B62">
        <v>230</v>
      </c>
      <c r="C62">
        <v>1092</v>
      </c>
      <c r="D62">
        <v>1092</v>
      </c>
    </row>
    <row r="63" spans="1:4" x14ac:dyDescent="0.25">
      <c r="A63" t="s">
        <v>240</v>
      </c>
      <c r="B63">
        <v>709</v>
      </c>
      <c r="C63">
        <v>3332</v>
      </c>
      <c r="D63">
        <v>3337</v>
      </c>
    </row>
    <row r="64" spans="1:4" x14ac:dyDescent="0.25">
      <c r="A64" t="s">
        <v>241</v>
      </c>
      <c r="B64">
        <v>412</v>
      </c>
      <c r="C64">
        <v>1917</v>
      </c>
      <c r="D64">
        <v>1917</v>
      </c>
    </row>
    <row r="65" spans="1:56" x14ac:dyDescent="0.25">
      <c r="A65" t="s">
        <v>242</v>
      </c>
      <c r="B65">
        <v>525</v>
      </c>
      <c r="C65">
        <v>2540</v>
      </c>
      <c r="D65">
        <v>2541</v>
      </c>
    </row>
    <row r="66" spans="1:56" x14ac:dyDescent="0.25">
      <c r="A66" t="s">
        <v>243</v>
      </c>
      <c r="B66">
        <v>183</v>
      </c>
      <c r="C66">
        <v>847</v>
      </c>
      <c r="D66">
        <v>848</v>
      </c>
    </row>
    <row r="67" spans="1:56" x14ac:dyDescent="0.25">
      <c r="A67" t="s">
        <v>244</v>
      </c>
      <c r="B67">
        <v>252</v>
      </c>
      <c r="C67">
        <v>1255</v>
      </c>
      <c r="D67">
        <v>1255</v>
      </c>
    </row>
    <row r="68" spans="1:56" x14ac:dyDescent="0.25">
      <c r="A68" t="s">
        <v>245</v>
      </c>
      <c r="B68">
        <v>4461</v>
      </c>
      <c r="C68">
        <v>19542</v>
      </c>
      <c r="D68">
        <v>19554</v>
      </c>
      <c r="F68">
        <v>1859</v>
      </c>
      <c r="G68">
        <v>942</v>
      </c>
      <c r="H68">
        <v>917</v>
      </c>
      <c r="I68">
        <v>1977</v>
      </c>
      <c r="J68">
        <v>1024</v>
      </c>
      <c r="K68">
        <v>953</v>
      </c>
      <c r="L68">
        <v>2041</v>
      </c>
      <c r="M68">
        <v>1037</v>
      </c>
      <c r="N68">
        <v>1004</v>
      </c>
      <c r="O68">
        <v>1917</v>
      </c>
      <c r="P68">
        <v>987</v>
      </c>
      <c r="Q68">
        <v>930</v>
      </c>
      <c r="R68">
        <v>1863</v>
      </c>
      <c r="S68">
        <v>922</v>
      </c>
      <c r="T68">
        <v>941</v>
      </c>
      <c r="U68">
        <v>1694</v>
      </c>
      <c r="V68">
        <v>868</v>
      </c>
      <c r="W68">
        <v>826</v>
      </c>
      <c r="X68">
        <v>1515</v>
      </c>
      <c r="Y68">
        <v>801</v>
      </c>
      <c r="Z68">
        <v>714</v>
      </c>
      <c r="AA68">
        <v>1215</v>
      </c>
      <c r="AB68">
        <v>667</v>
      </c>
      <c r="AC68">
        <v>548</v>
      </c>
      <c r="AD68">
        <v>1128</v>
      </c>
      <c r="AE68">
        <v>599</v>
      </c>
      <c r="AF68">
        <v>529</v>
      </c>
      <c r="AG68">
        <v>1027</v>
      </c>
      <c r="AH68">
        <v>523</v>
      </c>
      <c r="AI68">
        <v>504</v>
      </c>
      <c r="AJ68">
        <v>872</v>
      </c>
      <c r="AK68">
        <v>464</v>
      </c>
      <c r="AL68">
        <v>408</v>
      </c>
      <c r="AM68">
        <v>713</v>
      </c>
      <c r="AN68">
        <v>367</v>
      </c>
      <c r="AO68">
        <v>346</v>
      </c>
      <c r="AP68">
        <v>639</v>
      </c>
      <c r="AQ68">
        <v>329</v>
      </c>
      <c r="AR68">
        <v>310</v>
      </c>
      <c r="AS68">
        <v>453</v>
      </c>
      <c r="AT68">
        <v>227</v>
      </c>
      <c r="AU68">
        <v>226</v>
      </c>
      <c r="AV68">
        <v>286</v>
      </c>
      <c r="AW68">
        <v>124</v>
      </c>
      <c r="AX68">
        <v>162</v>
      </c>
      <c r="AY68">
        <v>172</v>
      </c>
      <c r="AZ68">
        <v>71</v>
      </c>
      <c r="BA68">
        <v>101</v>
      </c>
      <c r="BB68">
        <v>171</v>
      </c>
      <c r="BC68">
        <v>68</v>
      </c>
      <c r="BD68">
        <v>103</v>
      </c>
    </row>
    <row r="69" spans="1:56" x14ac:dyDescent="0.25">
      <c r="A69" t="s">
        <v>246</v>
      </c>
      <c r="B69">
        <v>273</v>
      </c>
      <c r="C69">
        <v>1132</v>
      </c>
      <c r="D69">
        <v>1132</v>
      </c>
    </row>
    <row r="70" spans="1:56" x14ac:dyDescent="0.25">
      <c r="A70" t="s">
        <v>247</v>
      </c>
      <c r="B70">
        <v>338</v>
      </c>
      <c r="C70">
        <v>1503</v>
      </c>
      <c r="D70">
        <v>1503</v>
      </c>
    </row>
    <row r="71" spans="1:56" x14ac:dyDescent="0.25">
      <c r="A71" t="s">
        <v>248</v>
      </c>
      <c r="B71">
        <v>258</v>
      </c>
      <c r="C71">
        <v>1056</v>
      </c>
      <c r="D71">
        <v>1056</v>
      </c>
    </row>
    <row r="72" spans="1:56" x14ac:dyDescent="0.25">
      <c r="A72" t="s">
        <v>249</v>
      </c>
      <c r="B72">
        <v>359</v>
      </c>
      <c r="C72">
        <v>1504</v>
      </c>
      <c r="D72">
        <v>1504</v>
      </c>
    </row>
    <row r="73" spans="1:56" x14ac:dyDescent="0.25">
      <c r="A73" t="s">
        <v>250</v>
      </c>
      <c r="B73">
        <v>681</v>
      </c>
      <c r="C73">
        <v>3157</v>
      </c>
      <c r="D73">
        <v>3157</v>
      </c>
    </row>
    <row r="74" spans="1:56" x14ac:dyDescent="0.25">
      <c r="A74" t="s">
        <v>251</v>
      </c>
      <c r="B74">
        <v>462</v>
      </c>
      <c r="C74">
        <v>1998</v>
      </c>
      <c r="D74">
        <v>1998</v>
      </c>
    </row>
    <row r="75" spans="1:56" x14ac:dyDescent="0.25">
      <c r="A75" t="s">
        <v>252</v>
      </c>
      <c r="B75">
        <v>330</v>
      </c>
      <c r="C75">
        <v>1329</v>
      </c>
      <c r="D75">
        <v>1329</v>
      </c>
    </row>
    <row r="76" spans="1:56" x14ac:dyDescent="0.25">
      <c r="A76" t="s">
        <v>253</v>
      </c>
      <c r="B76">
        <v>139</v>
      </c>
      <c r="C76">
        <v>597</v>
      </c>
      <c r="D76">
        <v>597</v>
      </c>
    </row>
    <row r="77" spans="1:56" x14ac:dyDescent="0.25">
      <c r="A77" t="s">
        <v>254</v>
      </c>
      <c r="B77">
        <v>355</v>
      </c>
      <c r="C77">
        <v>1646</v>
      </c>
      <c r="D77">
        <v>1646</v>
      </c>
    </row>
    <row r="78" spans="1:56" x14ac:dyDescent="0.25">
      <c r="A78" t="s">
        <v>255</v>
      </c>
      <c r="B78">
        <v>495</v>
      </c>
      <c r="C78">
        <v>2144</v>
      </c>
      <c r="D78">
        <v>2156</v>
      </c>
    </row>
    <row r="79" spans="1:56" x14ac:dyDescent="0.25">
      <c r="A79" t="s">
        <v>256</v>
      </c>
      <c r="B79">
        <v>262</v>
      </c>
      <c r="C79">
        <v>1109</v>
      </c>
      <c r="D79">
        <v>1109</v>
      </c>
    </row>
    <row r="80" spans="1:56" x14ac:dyDescent="0.25">
      <c r="A80" t="s">
        <v>257</v>
      </c>
      <c r="B80">
        <v>185</v>
      </c>
      <c r="C80">
        <v>871</v>
      </c>
      <c r="D80">
        <v>871</v>
      </c>
    </row>
    <row r="81" spans="1:56" x14ac:dyDescent="0.25">
      <c r="A81" t="s">
        <v>258</v>
      </c>
      <c r="B81">
        <v>163</v>
      </c>
      <c r="C81">
        <v>711</v>
      </c>
      <c r="D81">
        <v>711</v>
      </c>
    </row>
    <row r="82" spans="1:56" x14ac:dyDescent="0.25">
      <c r="A82" t="s">
        <v>259</v>
      </c>
      <c r="B82">
        <v>161</v>
      </c>
      <c r="C82">
        <v>785</v>
      </c>
      <c r="D82">
        <v>785</v>
      </c>
    </row>
    <row r="83" spans="1:56" x14ac:dyDescent="0.25">
      <c r="A83" t="s">
        <v>260</v>
      </c>
      <c r="B83">
        <v>25731</v>
      </c>
      <c r="C83">
        <v>120853</v>
      </c>
      <c r="D83">
        <v>121033</v>
      </c>
      <c r="F83">
        <v>12099</v>
      </c>
      <c r="G83">
        <v>6255</v>
      </c>
      <c r="H83">
        <v>5844</v>
      </c>
      <c r="I83">
        <v>12803</v>
      </c>
      <c r="J83">
        <v>6735</v>
      </c>
      <c r="K83">
        <v>6068</v>
      </c>
      <c r="L83">
        <v>13003</v>
      </c>
      <c r="M83">
        <v>6728</v>
      </c>
      <c r="N83">
        <v>6275</v>
      </c>
      <c r="O83">
        <v>12944</v>
      </c>
      <c r="P83">
        <v>6559</v>
      </c>
      <c r="Q83">
        <v>6385</v>
      </c>
      <c r="R83">
        <v>11798</v>
      </c>
      <c r="S83">
        <v>5906</v>
      </c>
      <c r="T83">
        <v>5892</v>
      </c>
      <c r="U83">
        <v>10383</v>
      </c>
      <c r="V83">
        <v>5294</v>
      </c>
      <c r="W83">
        <v>5089</v>
      </c>
      <c r="X83">
        <v>8959</v>
      </c>
      <c r="Y83">
        <v>4687</v>
      </c>
      <c r="Z83">
        <v>4272</v>
      </c>
      <c r="AA83">
        <v>7800</v>
      </c>
      <c r="AB83">
        <v>4036</v>
      </c>
      <c r="AC83">
        <v>3764</v>
      </c>
      <c r="AD83">
        <v>6686</v>
      </c>
      <c r="AE83">
        <v>3511</v>
      </c>
      <c r="AF83">
        <v>3175</v>
      </c>
      <c r="AG83">
        <v>5632</v>
      </c>
      <c r="AH83">
        <v>2925</v>
      </c>
      <c r="AI83">
        <v>2707</v>
      </c>
      <c r="AJ83">
        <v>4991</v>
      </c>
      <c r="AK83">
        <v>2503</v>
      </c>
      <c r="AL83">
        <v>2488</v>
      </c>
      <c r="AM83">
        <v>4142</v>
      </c>
      <c r="AN83">
        <v>2079</v>
      </c>
      <c r="AO83">
        <v>2063</v>
      </c>
      <c r="AP83">
        <v>3410</v>
      </c>
      <c r="AQ83">
        <v>1603</v>
      </c>
      <c r="AR83">
        <v>1807</v>
      </c>
      <c r="AS83">
        <v>2499</v>
      </c>
      <c r="AT83">
        <v>1189</v>
      </c>
      <c r="AU83">
        <v>1310</v>
      </c>
      <c r="AV83">
        <v>1606</v>
      </c>
      <c r="AW83">
        <v>728</v>
      </c>
      <c r="AX83">
        <v>878</v>
      </c>
      <c r="AY83">
        <v>925</v>
      </c>
      <c r="AZ83">
        <v>402</v>
      </c>
      <c r="BA83">
        <v>523</v>
      </c>
      <c r="BB83">
        <v>1173</v>
      </c>
      <c r="BC83">
        <v>443</v>
      </c>
      <c r="BD83">
        <v>730</v>
      </c>
    </row>
    <row r="84" spans="1:56" x14ac:dyDescent="0.25">
      <c r="A84" t="s">
        <v>261</v>
      </c>
      <c r="B84">
        <v>1182</v>
      </c>
      <c r="C84">
        <v>5711</v>
      </c>
      <c r="D84">
        <v>5723</v>
      </c>
    </row>
    <row r="85" spans="1:56" x14ac:dyDescent="0.25">
      <c r="A85" t="s">
        <v>262</v>
      </c>
      <c r="B85">
        <v>175</v>
      </c>
      <c r="C85">
        <v>903</v>
      </c>
      <c r="D85">
        <v>903</v>
      </c>
    </row>
    <row r="86" spans="1:56" x14ac:dyDescent="0.25">
      <c r="A86" t="s">
        <v>263</v>
      </c>
      <c r="B86">
        <v>721</v>
      </c>
      <c r="C86">
        <v>3249</v>
      </c>
      <c r="D86">
        <v>3252</v>
      </c>
    </row>
    <row r="87" spans="1:56" x14ac:dyDescent="0.25">
      <c r="A87" t="s">
        <v>264</v>
      </c>
      <c r="B87">
        <v>160</v>
      </c>
      <c r="C87">
        <v>824</v>
      </c>
      <c r="D87">
        <v>824</v>
      </c>
    </row>
    <row r="88" spans="1:56" x14ac:dyDescent="0.25">
      <c r="A88" t="s">
        <v>265</v>
      </c>
      <c r="B88">
        <v>327</v>
      </c>
      <c r="C88">
        <v>1851</v>
      </c>
      <c r="D88">
        <v>1852</v>
      </c>
    </row>
    <row r="89" spans="1:56" x14ac:dyDescent="0.25">
      <c r="A89" t="s">
        <v>266</v>
      </c>
      <c r="B89">
        <v>501</v>
      </c>
      <c r="C89">
        <v>2297</v>
      </c>
      <c r="D89">
        <v>2297</v>
      </c>
    </row>
    <row r="90" spans="1:56" x14ac:dyDescent="0.25">
      <c r="A90" t="s">
        <v>267</v>
      </c>
      <c r="B90">
        <v>310</v>
      </c>
      <c r="C90">
        <v>1302</v>
      </c>
      <c r="D90">
        <v>1302</v>
      </c>
    </row>
    <row r="91" spans="1:56" x14ac:dyDescent="0.25">
      <c r="A91" t="s">
        <v>268</v>
      </c>
      <c r="B91">
        <v>4512</v>
      </c>
      <c r="C91">
        <v>21434</v>
      </c>
      <c r="D91">
        <v>21522</v>
      </c>
    </row>
    <row r="92" spans="1:56" x14ac:dyDescent="0.25">
      <c r="A92" t="s">
        <v>269</v>
      </c>
      <c r="B92">
        <v>254</v>
      </c>
      <c r="C92">
        <v>1090</v>
      </c>
      <c r="D92">
        <v>1090</v>
      </c>
    </row>
    <row r="93" spans="1:56" x14ac:dyDescent="0.25">
      <c r="A93" t="s">
        <v>270</v>
      </c>
      <c r="B93">
        <v>496</v>
      </c>
      <c r="C93">
        <v>2222</v>
      </c>
      <c r="D93">
        <v>2222</v>
      </c>
    </row>
    <row r="94" spans="1:56" x14ac:dyDescent="0.25">
      <c r="A94" t="s">
        <v>271</v>
      </c>
      <c r="B94">
        <v>322</v>
      </c>
      <c r="C94">
        <v>1451</v>
      </c>
      <c r="D94">
        <v>1458</v>
      </c>
    </row>
    <row r="95" spans="1:56" x14ac:dyDescent="0.25">
      <c r="A95" t="s">
        <v>272</v>
      </c>
      <c r="B95">
        <v>406</v>
      </c>
      <c r="C95">
        <v>1818</v>
      </c>
      <c r="D95">
        <v>1826</v>
      </c>
    </row>
    <row r="96" spans="1:56" x14ac:dyDescent="0.25">
      <c r="A96" t="s">
        <v>273</v>
      </c>
      <c r="B96">
        <v>892</v>
      </c>
      <c r="C96">
        <v>4451</v>
      </c>
      <c r="D96">
        <v>4451</v>
      </c>
    </row>
    <row r="97" spans="1:4" x14ac:dyDescent="0.25">
      <c r="A97" t="s">
        <v>274</v>
      </c>
      <c r="B97">
        <v>217</v>
      </c>
      <c r="C97">
        <v>1083</v>
      </c>
      <c r="D97">
        <v>1083</v>
      </c>
    </row>
    <row r="98" spans="1:4" x14ac:dyDescent="0.25">
      <c r="A98" t="s">
        <v>275</v>
      </c>
      <c r="B98">
        <v>482</v>
      </c>
      <c r="C98">
        <v>2251</v>
      </c>
      <c r="D98">
        <v>2251</v>
      </c>
    </row>
    <row r="99" spans="1:4" x14ac:dyDescent="0.25">
      <c r="A99" t="s">
        <v>276</v>
      </c>
      <c r="B99">
        <v>204</v>
      </c>
      <c r="C99">
        <v>955</v>
      </c>
      <c r="D99">
        <v>955</v>
      </c>
    </row>
    <row r="100" spans="1:4" x14ac:dyDescent="0.25">
      <c r="A100" t="s">
        <v>277</v>
      </c>
      <c r="B100">
        <v>325</v>
      </c>
      <c r="C100">
        <v>1424</v>
      </c>
      <c r="D100">
        <v>1424</v>
      </c>
    </row>
    <row r="101" spans="1:4" x14ac:dyDescent="0.25">
      <c r="A101" t="s">
        <v>278</v>
      </c>
      <c r="B101">
        <v>640</v>
      </c>
      <c r="C101">
        <v>2752</v>
      </c>
      <c r="D101">
        <v>2752</v>
      </c>
    </row>
    <row r="102" spans="1:4" x14ac:dyDescent="0.25">
      <c r="A102" t="s">
        <v>279</v>
      </c>
      <c r="B102">
        <v>604</v>
      </c>
      <c r="C102">
        <v>3017</v>
      </c>
      <c r="D102">
        <v>3017</v>
      </c>
    </row>
    <row r="103" spans="1:4" x14ac:dyDescent="0.25">
      <c r="A103" t="s">
        <v>280</v>
      </c>
      <c r="B103">
        <v>376</v>
      </c>
      <c r="C103">
        <v>1670</v>
      </c>
      <c r="D103">
        <v>1670</v>
      </c>
    </row>
    <row r="104" spans="1:4" x14ac:dyDescent="0.25">
      <c r="A104" t="s">
        <v>281</v>
      </c>
      <c r="B104">
        <v>278</v>
      </c>
      <c r="C104">
        <v>1228</v>
      </c>
      <c r="D104">
        <v>1228</v>
      </c>
    </row>
    <row r="105" spans="1:4" x14ac:dyDescent="0.25">
      <c r="A105" t="s">
        <v>282</v>
      </c>
      <c r="B105">
        <v>1128</v>
      </c>
      <c r="C105">
        <v>4900</v>
      </c>
      <c r="D105">
        <v>4921</v>
      </c>
    </row>
    <row r="106" spans="1:4" x14ac:dyDescent="0.25">
      <c r="A106" t="s">
        <v>283</v>
      </c>
      <c r="B106">
        <v>134</v>
      </c>
      <c r="C106">
        <v>566</v>
      </c>
      <c r="D106">
        <v>566</v>
      </c>
    </row>
    <row r="107" spans="1:4" x14ac:dyDescent="0.25">
      <c r="A107" t="s">
        <v>284</v>
      </c>
      <c r="B107">
        <v>248</v>
      </c>
      <c r="C107">
        <v>1085</v>
      </c>
      <c r="D107">
        <v>1085</v>
      </c>
    </row>
    <row r="108" spans="1:4" x14ac:dyDescent="0.25">
      <c r="A108" t="s">
        <v>285</v>
      </c>
      <c r="B108">
        <v>849</v>
      </c>
      <c r="C108">
        <v>4253</v>
      </c>
      <c r="D108">
        <v>4254</v>
      </c>
    </row>
    <row r="109" spans="1:4" x14ac:dyDescent="0.25">
      <c r="A109" t="s">
        <v>286</v>
      </c>
      <c r="B109">
        <v>300</v>
      </c>
      <c r="C109">
        <v>1374</v>
      </c>
      <c r="D109">
        <v>1374</v>
      </c>
    </row>
    <row r="110" spans="1:4" x14ac:dyDescent="0.25">
      <c r="A110" t="s">
        <v>287</v>
      </c>
      <c r="B110">
        <v>143</v>
      </c>
      <c r="C110">
        <v>777</v>
      </c>
      <c r="D110">
        <v>778</v>
      </c>
    </row>
    <row r="111" spans="1:4" x14ac:dyDescent="0.25">
      <c r="A111" t="s">
        <v>288</v>
      </c>
      <c r="B111">
        <v>609</v>
      </c>
      <c r="C111">
        <v>2633</v>
      </c>
      <c r="D111">
        <v>2633</v>
      </c>
    </row>
    <row r="112" spans="1:4" x14ac:dyDescent="0.25">
      <c r="A112" t="s">
        <v>289</v>
      </c>
      <c r="B112">
        <v>671</v>
      </c>
      <c r="C112">
        <v>3222</v>
      </c>
      <c r="D112">
        <v>3233</v>
      </c>
    </row>
    <row r="113" spans="1:56" x14ac:dyDescent="0.25">
      <c r="A113" t="s">
        <v>290</v>
      </c>
      <c r="B113">
        <v>97</v>
      </c>
      <c r="C113">
        <v>456</v>
      </c>
      <c r="D113">
        <v>456</v>
      </c>
    </row>
    <row r="114" spans="1:56" x14ac:dyDescent="0.25">
      <c r="A114" t="s">
        <v>291</v>
      </c>
      <c r="B114">
        <v>371</v>
      </c>
      <c r="C114">
        <v>1691</v>
      </c>
      <c r="D114">
        <v>1691</v>
      </c>
    </row>
    <row r="115" spans="1:56" x14ac:dyDescent="0.25">
      <c r="A115" t="s">
        <v>292</v>
      </c>
      <c r="B115">
        <v>484</v>
      </c>
      <c r="C115">
        <v>2305</v>
      </c>
      <c r="D115">
        <v>2305</v>
      </c>
    </row>
    <row r="116" spans="1:56" x14ac:dyDescent="0.25">
      <c r="A116" t="s">
        <v>293</v>
      </c>
      <c r="B116">
        <v>815</v>
      </c>
      <c r="C116">
        <v>4125</v>
      </c>
      <c r="D116">
        <v>4125</v>
      </c>
    </row>
    <row r="117" spans="1:56" x14ac:dyDescent="0.25">
      <c r="A117" t="s">
        <v>294</v>
      </c>
      <c r="B117">
        <v>567</v>
      </c>
      <c r="C117">
        <v>2541</v>
      </c>
      <c r="D117">
        <v>2548</v>
      </c>
    </row>
    <row r="118" spans="1:56" x14ac:dyDescent="0.25">
      <c r="A118" t="s">
        <v>295</v>
      </c>
      <c r="B118">
        <v>639</v>
      </c>
      <c r="C118">
        <v>3089</v>
      </c>
      <c r="D118">
        <v>3090</v>
      </c>
    </row>
    <row r="119" spans="1:56" x14ac:dyDescent="0.25">
      <c r="A119" t="s">
        <v>296</v>
      </c>
      <c r="B119">
        <v>1187</v>
      </c>
      <c r="C119">
        <v>5029</v>
      </c>
      <c r="D119">
        <v>5029</v>
      </c>
    </row>
    <row r="120" spans="1:56" x14ac:dyDescent="0.25">
      <c r="A120" t="s">
        <v>297</v>
      </c>
      <c r="B120">
        <v>671</v>
      </c>
      <c r="C120">
        <v>3515</v>
      </c>
      <c r="D120">
        <v>3515</v>
      </c>
    </row>
    <row r="121" spans="1:56" x14ac:dyDescent="0.25">
      <c r="A121" t="s">
        <v>298</v>
      </c>
      <c r="B121">
        <v>384</v>
      </c>
      <c r="C121">
        <v>2120</v>
      </c>
      <c r="D121">
        <v>2120</v>
      </c>
    </row>
    <row r="122" spans="1:56" x14ac:dyDescent="0.25">
      <c r="A122" t="s">
        <v>299</v>
      </c>
      <c r="B122">
        <v>326</v>
      </c>
      <c r="C122">
        <v>1544</v>
      </c>
      <c r="D122">
        <v>1544</v>
      </c>
    </row>
    <row r="123" spans="1:56" x14ac:dyDescent="0.25">
      <c r="A123" t="s">
        <v>300</v>
      </c>
      <c r="B123">
        <v>338</v>
      </c>
      <c r="C123">
        <v>1364</v>
      </c>
      <c r="D123">
        <v>1364</v>
      </c>
    </row>
    <row r="124" spans="1:56" x14ac:dyDescent="0.25">
      <c r="A124" t="s">
        <v>301</v>
      </c>
      <c r="B124">
        <v>1366</v>
      </c>
      <c r="C124">
        <v>6206</v>
      </c>
      <c r="D124">
        <v>6225</v>
      </c>
    </row>
    <row r="125" spans="1:56" x14ac:dyDescent="0.25">
      <c r="A125" t="s">
        <v>302</v>
      </c>
      <c r="B125">
        <v>760</v>
      </c>
      <c r="C125">
        <v>3615</v>
      </c>
      <c r="D125">
        <v>3615</v>
      </c>
    </row>
    <row r="126" spans="1:56" x14ac:dyDescent="0.25">
      <c r="A126" t="s">
        <v>303</v>
      </c>
      <c r="B126">
        <v>260</v>
      </c>
      <c r="C126">
        <v>1460</v>
      </c>
      <c r="D126">
        <v>1460</v>
      </c>
    </row>
    <row r="127" spans="1:56" x14ac:dyDescent="0.25">
      <c r="A127" t="s">
        <v>304</v>
      </c>
      <c r="B127">
        <v>1568</v>
      </c>
      <c r="C127">
        <v>8743</v>
      </c>
      <c r="D127">
        <v>8746</v>
      </c>
      <c r="F127">
        <v>834</v>
      </c>
      <c r="G127">
        <v>434</v>
      </c>
      <c r="H127">
        <v>400</v>
      </c>
      <c r="I127">
        <v>853</v>
      </c>
      <c r="J127">
        <v>435</v>
      </c>
      <c r="K127">
        <v>418</v>
      </c>
      <c r="L127">
        <v>957</v>
      </c>
      <c r="M127">
        <v>529</v>
      </c>
      <c r="N127">
        <v>428</v>
      </c>
      <c r="O127">
        <v>1027</v>
      </c>
      <c r="P127">
        <v>555</v>
      </c>
      <c r="Q127">
        <v>472</v>
      </c>
      <c r="R127">
        <v>966</v>
      </c>
      <c r="S127">
        <v>531</v>
      </c>
      <c r="T127">
        <v>435</v>
      </c>
      <c r="U127">
        <v>750</v>
      </c>
      <c r="V127">
        <v>397</v>
      </c>
      <c r="W127">
        <v>353</v>
      </c>
      <c r="X127">
        <v>556</v>
      </c>
      <c r="Y127">
        <v>329</v>
      </c>
      <c r="Z127">
        <v>227</v>
      </c>
      <c r="AA127">
        <v>472</v>
      </c>
      <c r="AB127">
        <v>254</v>
      </c>
      <c r="AC127">
        <v>218</v>
      </c>
      <c r="AD127">
        <v>392</v>
      </c>
      <c r="AE127">
        <v>212</v>
      </c>
      <c r="AF127">
        <v>180</v>
      </c>
      <c r="AG127">
        <v>369</v>
      </c>
      <c r="AH127">
        <v>206</v>
      </c>
      <c r="AI127">
        <v>163</v>
      </c>
      <c r="AJ127">
        <v>386</v>
      </c>
      <c r="AK127">
        <v>194</v>
      </c>
      <c r="AL127">
        <v>192</v>
      </c>
      <c r="AM127">
        <v>344</v>
      </c>
      <c r="AN127">
        <v>182</v>
      </c>
      <c r="AO127">
        <v>162</v>
      </c>
      <c r="AP127">
        <v>282</v>
      </c>
      <c r="AQ127">
        <v>130</v>
      </c>
      <c r="AR127">
        <v>152</v>
      </c>
      <c r="AS127">
        <v>195</v>
      </c>
      <c r="AT127">
        <v>106</v>
      </c>
      <c r="AU127">
        <v>89</v>
      </c>
      <c r="AV127">
        <v>130</v>
      </c>
      <c r="AW127">
        <v>71</v>
      </c>
      <c r="AX127">
        <v>59</v>
      </c>
      <c r="AY127">
        <v>96</v>
      </c>
      <c r="AZ127">
        <v>45</v>
      </c>
      <c r="BA127">
        <v>51</v>
      </c>
      <c r="BB127">
        <v>134</v>
      </c>
      <c r="BC127">
        <v>58</v>
      </c>
      <c r="BD127">
        <v>76</v>
      </c>
    </row>
    <row r="128" spans="1:56" x14ac:dyDescent="0.25">
      <c r="A128" t="s">
        <v>305</v>
      </c>
      <c r="B128">
        <v>47</v>
      </c>
      <c r="C128">
        <v>259</v>
      </c>
      <c r="D128">
        <v>259</v>
      </c>
    </row>
    <row r="129" spans="1:56" x14ac:dyDescent="0.25">
      <c r="A129" t="s">
        <v>306</v>
      </c>
      <c r="B129">
        <v>59</v>
      </c>
      <c r="C129">
        <v>323</v>
      </c>
      <c r="D129">
        <v>326</v>
      </c>
    </row>
    <row r="130" spans="1:56" x14ac:dyDescent="0.25">
      <c r="A130" t="s">
        <v>307</v>
      </c>
      <c r="B130">
        <v>61</v>
      </c>
      <c r="C130">
        <v>369</v>
      </c>
      <c r="D130">
        <v>369</v>
      </c>
    </row>
    <row r="131" spans="1:56" x14ac:dyDescent="0.25">
      <c r="A131" t="s">
        <v>308</v>
      </c>
      <c r="B131">
        <v>79</v>
      </c>
      <c r="C131">
        <v>457</v>
      </c>
      <c r="D131">
        <v>457</v>
      </c>
    </row>
    <row r="132" spans="1:56" x14ac:dyDescent="0.25">
      <c r="A132" t="s">
        <v>309</v>
      </c>
      <c r="B132">
        <v>47</v>
      </c>
      <c r="C132">
        <v>278</v>
      </c>
      <c r="D132">
        <v>278</v>
      </c>
    </row>
    <row r="133" spans="1:56" x14ac:dyDescent="0.25">
      <c r="A133" t="s">
        <v>310</v>
      </c>
      <c r="B133">
        <v>80</v>
      </c>
      <c r="C133">
        <v>387</v>
      </c>
      <c r="D133">
        <v>387</v>
      </c>
    </row>
    <row r="134" spans="1:56" x14ac:dyDescent="0.25">
      <c r="A134" t="s">
        <v>311</v>
      </c>
      <c r="B134">
        <v>91</v>
      </c>
      <c r="C134">
        <v>527</v>
      </c>
      <c r="D134">
        <v>527</v>
      </c>
    </row>
    <row r="135" spans="1:56" x14ac:dyDescent="0.25">
      <c r="A135" t="s">
        <v>312</v>
      </c>
      <c r="B135">
        <v>64</v>
      </c>
      <c r="C135">
        <v>353</v>
      </c>
      <c r="D135">
        <v>353</v>
      </c>
    </row>
    <row r="136" spans="1:56" x14ac:dyDescent="0.25">
      <c r="A136" t="s">
        <v>189</v>
      </c>
      <c r="B136">
        <v>170</v>
      </c>
      <c r="C136">
        <v>892</v>
      </c>
      <c r="D136">
        <v>892</v>
      </c>
    </row>
    <row r="137" spans="1:56" x14ac:dyDescent="0.25">
      <c r="A137" t="s">
        <v>313</v>
      </c>
      <c r="B137">
        <v>169</v>
      </c>
      <c r="C137">
        <v>974</v>
      </c>
      <c r="D137">
        <v>974</v>
      </c>
    </row>
    <row r="138" spans="1:56" x14ac:dyDescent="0.25">
      <c r="A138" t="s">
        <v>200</v>
      </c>
      <c r="B138">
        <v>58</v>
      </c>
      <c r="C138">
        <v>313</v>
      </c>
      <c r="D138">
        <v>313</v>
      </c>
    </row>
    <row r="139" spans="1:56" x14ac:dyDescent="0.25">
      <c r="A139" t="s">
        <v>314</v>
      </c>
      <c r="B139">
        <v>73</v>
      </c>
      <c r="C139">
        <v>369</v>
      </c>
      <c r="D139">
        <v>369</v>
      </c>
    </row>
    <row r="140" spans="1:56" x14ac:dyDescent="0.25">
      <c r="A140" t="s">
        <v>315</v>
      </c>
      <c r="B140">
        <v>31</v>
      </c>
      <c r="C140">
        <v>185</v>
      </c>
      <c r="D140">
        <v>185</v>
      </c>
    </row>
    <row r="141" spans="1:56" x14ac:dyDescent="0.25">
      <c r="A141" t="s">
        <v>316</v>
      </c>
      <c r="B141">
        <v>356</v>
      </c>
      <c r="C141">
        <v>2019</v>
      </c>
      <c r="D141">
        <v>2019</v>
      </c>
    </row>
    <row r="142" spans="1:56" x14ac:dyDescent="0.25">
      <c r="A142" t="s">
        <v>317</v>
      </c>
      <c r="B142">
        <v>133</v>
      </c>
      <c r="C142">
        <v>757</v>
      </c>
      <c r="D142">
        <v>757</v>
      </c>
    </row>
    <row r="143" spans="1:56" x14ac:dyDescent="0.25">
      <c r="A143" t="s">
        <v>318</v>
      </c>
      <c r="B143">
        <v>50</v>
      </c>
      <c r="C143">
        <v>281</v>
      </c>
      <c r="D143">
        <v>281</v>
      </c>
    </row>
    <row r="144" spans="1:56" x14ac:dyDescent="0.25">
      <c r="A144" t="s">
        <v>319</v>
      </c>
      <c r="B144">
        <v>2453</v>
      </c>
      <c r="C144">
        <v>13138</v>
      </c>
      <c r="D144">
        <v>13148</v>
      </c>
      <c r="F144">
        <v>1251</v>
      </c>
      <c r="G144">
        <v>658</v>
      </c>
      <c r="H144">
        <v>593</v>
      </c>
      <c r="I144">
        <v>1312</v>
      </c>
      <c r="J144">
        <v>706</v>
      </c>
      <c r="K144">
        <v>606</v>
      </c>
      <c r="L144">
        <v>1391</v>
      </c>
      <c r="M144">
        <v>771</v>
      </c>
      <c r="N144">
        <v>620</v>
      </c>
      <c r="O144">
        <v>1534</v>
      </c>
      <c r="P144">
        <v>823</v>
      </c>
      <c r="Q144">
        <v>711</v>
      </c>
      <c r="R144">
        <v>1406</v>
      </c>
      <c r="S144">
        <v>750</v>
      </c>
      <c r="T144">
        <v>656</v>
      </c>
      <c r="U144">
        <v>1180</v>
      </c>
      <c r="V144">
        <v>646</v>
      </c>
      <c r="W144">
        <v>534</v>
      </c>
      <c r="X144">
        <v>903</v>
      </c>
      <c r="Y144">
        <v>517</v>
      </c>
      <c r="Z144">
        <v>386</v>
      </c>
      <c r="AA144">
        <v>689</v>
      </c>
      <c r="AB144">
        <v>378</v>
      </c>
      <c r="AC144">
        <v>311</v>
      </c>
      <c r="AD144">
        <v>661</v>
      </c>
      <c r="AE144">
        <v>350</v>
      </c>
      <c r="AF144">
        <v>311</v>
      </c>
      <c r="AG144">
        <v>617</v>
      </c>
      <c r="AH144">
        <v>317</v>
      </c>
      <c r="AI144">
        <v>300</v>
      </c>
      <c r="AJ144">
        <v>500</v>
      </c>
      <c r="AK144">
        <v>236</v>
      </c>
      <c r="AL144">
        <v>264</v>
      </c>
      <c r="AM144">
        <v>415</v>
      </c>
      <c r="AN144">
        <v>204</v>
      </c>
      <c r="AO144">
        <v>211</v>
      </c>
      <c r="AP144">
        <v>386</v>
      </c>
      <c r="AQ144">
        <v>187</v>
      </c>
      <c r="AR144">
        <v>199</v>
      </c>
      <c r="AS144">
        <v>354</v>
      </c>
      <c r="AT144">
        <v>178</v>
      </c>
      <c r="AU144">
        <v>176</v>
      </c>
      <c r="AV144">
        <v>210</v>
      </c>
      <c r="AW144">
        <v>105</v>
      </c>
      <c r="AX144">
        <v>105</v>
      </c>
      <c r="AY144">
        <v>149</v>
      </c>
      <c r="AZ144">
        <v>63</v>
      </c>
      <c r="BA144">
        <v>86</v>
      </c>
      <c r="BB144">
        <v>180</v>
      </c>
      <c r="BC144">
        <v>68</v>
      </c>
      <c r="BD144">
        <v>112</v>
      </c>
    </row>
    <row r="145" spans="1:56" x14ac:dyDescent="0.25">
      <c r="A145" t="s">
        <v>320</v>
      </c>
      <c r="B145">
        <v>81</v>
      </c>
      <c r="C145">
        <v>435</v>
      </c>
      <c r="D145">
        <v>435</v>
      </c>
      <c r="F145">
        <v>35</v>
      </c>
      <c r="G145">
        <v>12</v>
      </c>
      <c r="H145">
        <v>23</v>
      </c>
      <c r="I145">
        <v>37</v>
      </c>
      <c r="J145">
        <v>22</v>
      </c>
      <c r="K145">
        <v>15</v>
      </c>
      <c r="L145">
        <v>45</v>
      </c>
      <c r="M145">
        <v>28</v>
      </c>
      <c r="N145">
        <v>17</v>
      </c>
      <c r="O145">
        <v>68</v>
      </c>
      <c r="P145">
        <v>36</v>
      </c>
      <c r="Q145">
        <v>32</v>
      </c>
      <c r="R145">
        <v>43</v>
      </c>
      <c r="S145">
        <v>24</v>
      </c>
      <c r="T145">
        <v>19</v>
      </c>
      <c r="U145">
        <v>45</v>
      </c>
      <c r="V145">
        <v>20</v>
      </c>
      <c r="W145">
        <v>25</v>
      </c>
      <c r="X145">
        <v>27</v>
      </c>
      <c r="Y145">
        <v>14</v>
      </c>
      <c r="Z145">
        <v>13</v>
      </c>
      <c r="AA145">
        <v>23</v>
      </c>
      <c r="AB145">
        <v>12</v>
      </c>
      <c r="AC145">
        <v>11</v>
      </c>
      <c r="AD145">
        <v>23</v>
      </c>
      <c r="AE145">
        <v>10</v>
      </c>
      <c r="AF145">
        <v>13</v>
      </c>
      <c r="AG145">
        <v>25</v>
      </c>
      <c r="AH145">
        <v>14</v>
      </c>
      <c r="AI145">
        <v>11</v>
      </c>
      <c r="AJ145">
        <v>15</v>
      </c>
      <c r="AK145">
        <v>6</v>
      </c>
      <c r="AL145">
        <v>9</v>
      </c>
      <c r="AM145">
        <v>17</v>
      </c>
      <c r="AN145">
        <v>8</v>
      </c>
      <c r="AO145">
        <v>9</v>
      </c>
      <c r="AP145">
        <v>10</v>
      </c>
      <c r="AQ145">
        <v>6</v>
      </c>
      <c r="AR145">
        <v>4</v>
      </c>
      <c r="AS145">
        <v>13</v>
      </c>
      <c r="AT145">
        <v>7</v>
      </c>
      <c r="AU145">
        <v>6</v>
      </c>
      <c r="AV145">
        <v>5</v>
      </c>
      <c r="AW145">
        <v>3</v>
      </c>
      <c r="AX145">
        <v>2</v>
      </c>
      <c r="AY145">
        <v>1</v>
      </c>
      <c r="AZ145">
        <v>1</v>
      </c>
      <c r="BA145">
        <v>0</v>
      </c>
      <c r="BB145">
        <v>3</v>
      </c>
      <c r="BC145">
        <v>0</v>
      </c>
      <c r="BD145">
        <v>3</v>
      </c>
    </row>
    <row r="146" spans="1:56" x14ac:dyDescent="0.25">
      <c r="A146" t="s">
        <v>321</v>
      </c>
      <c r="B146">
        <v>127</v>
      </c>
      <c r="C146">
        <v>658</v>
      </c>
      <c r="D146">
        <v>658</v>
      </c>
      <c r="F146">
        <v>71</v>
      </c>
      <c r="G146">
        <v>40</v>
      </c>
      <c r="H146">
        <v>31</v>
      </c>
      <c r="I146">
        <v>50</v>
      </c>
      <c r="J146">
        <v>22</v>
      </c>
      <c r="K146">
        <v>28</v>
      </c>
      <c r="L146">
        <v>66</v>
      </c>
      <c r="M146">
        <v>37</v>
      </c>
      <c r="N146">
        <v>29</v>
      </c>
      <c r="O146">
        <v>81</v>
      </c>
      <c r="P146">
        <v>40</v>
      </c>
      <c r="Q146">
        <v>41</v>
      </c>
      <c r="R146">
        <v>82</v>
      </c>
      <c r="S146">
        <v>41</v>
      </c>
      <c r="T146">
        <v>41</v>
      </c>
      <c r="U146">
        <v>59</v>
      </c>
      <c r="V146">
        <v>35</v>
      </c>
      <c r="W146">
        <v>24</v>
      </c>
      <c r="X146">
        <v>46</v>
      </c>
      <c r="Y146">
        <v>33</v>
      </c>
      <c r="Z146">
        <v>13</v>
      </c>
      <c r="AA146">
        <v>26</v>
      </c>
      <c r="AB146">
        <v>17</v>
      </c>
      <c r="AC146">
        <v>9</v>
      </c>
      <c r="AD146">
        <v>28</v>
      </c>
      <c r="AE146">
        <v>16</v>
      </c>
      <c r="AF146">
        <v>12</v>
      </c>
      <c r="AG146">
        <v>29</v>
      </c>
      <c r="AH146">
        <v>14</v>
      </c>
      <c r="AI146">
        <v>15</v>
      </c>
      <c r="AJ146">
        <v>38</v>
      </c>
      <c r="AK146">
        <v>20</v>
      </c>
      <c r="AL146">
        <v>18</v>
      </c>
      <c r="AM146">
        <v>26</v>
      </c>
      <c r="AN146">
        <v>11</v>
      </c>
      <c r="AO146">
        <v>15</v>
      </c>
      <c r="AP146">
        <v>13</v>
      </c>
      <c r="AQ146">
        <v>6</v>
      </c>
      <c r="AR146">
        <v>7</v>
      </c>
      <c r="AS146">
        <v>21</v>
      </c>
      <c r="AT146">
        <v>9</v>
      </c>
      <c r="AU146">
        <v>12</v>
      </c>
      <c r="AV146">
        <v>8</v>
      </c>
      <c r="AW146">
        <v>4</v>
      </c>
      <c r="AX146">
        <v>4</v>
      </c>
      <c r="AY146">
        <v>9</v>
      </c>
      <c r="AZ146">
        <v>5</v>
      </c>
      <c r="BA146">
        <v>4</v>
      </c>
      <c r="BB146">
        <v>5</v>
      </c>
      <c r="BC146">
        <v>3</v>
      </c>
      <c r="BD146">
        <v>2</v>
      </c>
    </row>
    <row r="147" spans="1:56" x14ac:dyDescent="0.25">
      <c r="A147" t="s">
        <v>322</v>
      </c>
      <c r="B147">
        <v>223</v>
      </c>
      <c r="C147">
        <v>1114</v>
      </c>
      <c r="D147">
        <v>1114</v>
      </c>
      <c r="F147">
        <v>92</v>
      </c>
      <c r="G147">
        <v>46</v>
      </c>
      <c r="H147">
        <v>46</v>
      </c>
      <c r="I147">
        <v>102</v>
      </c>
      <c r="J147">
        <v>53</v>
      </c>
      <c r="K147">
        <v>49</v>
      </c>
      <c r="L147">
        <v>131</v>
      </c>
      <c r="M147">
        <v>82</v>
      </c>
      <c r="N147">
        <v>49</v>
      </c>
      <c r="O147">
        <v>150</v>
      </c>
      <c r="P147">
        <v>72</v>
      </c>
      <c r="Q147">
        <v>78</v>
      </c>
      <c r="R147">
        <v>136</v>
      </c>
      <c r="S147">
        <v>64</v>
      </c>
      <c r="T147">
        <v>72</v>
      </c>
      <c r="U147">
        <v>106</v>
      </c>
      <c r="V147">
        <v>65</v>
      </c>
      <c r="W147">
        <v>41</v>
      </c>
      <c r="X147">
        <v>67</v>
      </c>
      <c r="Y147">
        <v>37</v>
      </c>
      <c r="Z147">
        <v>30</v>
      </c>
      <c r="AA147">
        <v>42</v>
      </c>
      <c r="AB147">
        <v>21</v>
      </c>
      <c r="AC147">
        <v>21</v>
      </c>
      <c r="AD147">
        <v>42</v>
      </c>
      <c r="AE147">
        <v>21</v>
      </c>
      <c r="AF147">
        <v>21</v>
      </c>
      <c r="AG147">
        <v>59</v>
      </c>
      <c r="AH147">
        <v>24</v>
      </c>
      <c r="AI147">
        <v>35</v>
      </c>
      <c r="AJ147">
        <v>41</v>
      </c>
      <c r="AK147">
        <v>16</v>
      </c>
      <c r="AL147">
        <v>25</v>
      </c>
      <c r="AM147">
        <v>29</v>
      </c>
      <c r="AN147">
        <v>18</v>
      </c>
      <c r="AO147">
        <v>11</v>
      </c>
      <c r="AP147">
        <v>28</v>
      </c>
      <c r="AQ147">
        <v>13</v>
      </c>
      <c r="AR147">
        <v>15</v>
      </c>
      <c r="AS147">
        <v>25</v>
      </c>
      <c r="AT147">
        <v>14</v>
      </c>
      <c r="AU147">
        <v>11</v>
      </c>
      <c r="AV147">
        <v>19</v>
      </c>
      <c r="AW147">
        <v>12</v>
      </c>
      <c r="AX147">
        <v>7</v>
      </c>
      <c r="AY147">
        <v>11</v>
      </c>
      <c r="AZ147">
        <v>2</v>
      </c>
      <c r="BA147">
        <v>9</v>
      </c>
      <c r="BB147">
        <v>34</v>
      </c>
      <c r="BC147">
        <v>11</v>
      </c>
      <c r="BD147">
        <v>23</v>
      </c>
    </row>
    <row r="148" spans="1:56" x14ac:dyDescent="0.25">
      <c r="A148" t="s">
        <v>323</v>
      </c>
      <c r="B148">
        <v>90</v>
      </c>
      <c r="C148">
        <v>525</v>
      </c>
      <c r="D148">
        <v>525</v>
      </c>
      <c r="F148">
        <v>57</v>
      </c>
      <c r="G148">
        <v>34</v>
      </c>
      <c r="H148">
        <v>23</v>
      </c>
      <c r="I148">
        <v>49</v>
      </c>
      <c r="J148">
        <v>31</v>
      </c>
      <c r="K148">
        <v>18</v>
      </c>
      <c r="L148">
        <v>66</v>
      </c>
      <c r="M148">
        <v>38</v>
      </c>
      <c r="N148">
        <v>28</v>
      </c>
      <c r="O148">
        <v>60</v>
      </c>
      <c r="P148">
        <v>35</v>
      </c>
      <c r="Q148">
        <v>25</v>
      </c>
      <c r="R148">
        <v>52</v>
      </c>
      <c r="S148">
        <v>27</v>
      </c>
      <c r="T148">
        <v>25</v>
      </c>
      <c r="U148">
        <v>49</v>
      </c>
      <c r="V148">
        <v>24</v>
      </c>
      <c r="W148">
        <v>25</v>
      </c>
      <c r="X148">
        <v>30</v>
      </c>
      <c r="Y148">
        <v>16</v>
      </c>
      <c r="Z148">
        <v>14</v>
      </c>
      <c r="AA148">
        <v>25</v>
      </c>
      <c r="AB148">
        <v>12</v>
      </c>
      <c r="AC148">
        <v>13</v>
      </c>
      <c r="AD148">
        <v>32</v>
      </c>
      <c r="AE148">
        <v>23</v>
      </c>
      <c r="AF148">
        <v>9</v>
      </c>
      <c r="AG148">
        <v>24</v>
      </c>
      <c r="AH148">
        <v>11</v>
      </c>
      <c r="AI148">
        <v>13</v>
      </c>
      <c r="AJ148">
        <v>24</v>
      </c>
      <c r="AK148">
        <v>10</v>
      </c>
      <c r="AL148">
        <v>14</v>
      </c>
      <c r="AM148">
        <v>11</v>
      </c>
      <c r="AN148">
        <v>7</v>
      </c>
      <c r="AO148">
        <v>4</v>
      </c>
      <c r="AP148">
        <v>9</v>
      </c>
      <c r="AQ148">
        <v>5</v>
      </c>
      <c r="AR148">
        <v>4</v>
      </c>
      <c r="AS148">
        <v>15</v>
      </c>
      <c r="AT148">
        <v>5</v>
      </c>
      <c r="AU148">
        <v>10</v>
      </c>
      <c r="AV148">
        <v>6</v>
      </c>
      <c r="AW148">
        <v>4</v>
      </c>
      <c r="AX148">
        <v>2</v>
      </c>
      <c r="AY148">
        <v>6</v>
      </c>
      <c r="AZ148">
        <v>2</v>
      </c>
      <c r="BA148">
        <v>4</v>
      </c>
      <c r="BB148">
        <v>10</v>
      </c>
      <c r="BC148">
        <v>5</v>
      </c>
      <c r="BD148">
        <v>5</v>
      </c>
    </row>
    <row r="149" spans="1:56" x14ac:dyDescent="0.25">
      <c r="A149" t="s">
        <v>324</v>
      </c>
      <c r="B149">
        <v>130</v>
      </c>
      <c r="C149">
        <v>649</v>
      </c>
      <c r="D149">
        <v>649</v>
      </c>
      <c r="F149">
        <v>77</v>
      </c>
      <c r="G149">
        <v>39</v>
      </c>
      <c r="H149">
        <v>38</v>
      </c>
      <c r="I149">
        <v>58</v>
      </c>
      <c r="J149">
        <v>39</v>
      </c>
      <c r="K149">
        <v>19</v>
      </c>
      <c r="L149">
        <v>74</v>
      </c>
      <c r="M149">
        <v>42</v>
      </c>
      <c r="N149">
        <v>32</v>
      </c>
      <c r="O149">
        <v>56</v>
      </c>
      <c r="P149">
        <v>35</v>
      </c>
      <c r="Q149">
        <v>21</v>
      </c>
      <c r="R149">
        <v>50</v>
      </c>
      <c r="S149">
        <v>28</v>
      </c>
      <c r="T149">
        <v>22</v>
      </c>
      <c r="U149">
        <v>67</v>
      </c>
      <c r="V149">
        <v>37</v>
      </c>
      <c r="W149">
        <v>30</v>
      </c>
      <c r="X149">
        <v>60</v>
      </c>
      <c r="Y149">
        <v>31</v>
      </c>
      <c r="Z149">
        <v>29</v>
      </c>
      <c r="AA149">
        <v>44</v>
      </c>
      <c r="AB149">
        <v>19</v>
      </c>
      <c r="AC149">
        <v>25</v>
      </c>
      <c r="AD149">
        <v>34</v>
      </c>
      <c r="AE149">
        <v>20</v>
      </c>
      <c r="AF149">
        <v>14</v>
      </c>
      <c r="AG149">
        <v>21</v>
      </c>
      <c r="AH149">
        <v>9</v>
      </c>
      <c r="AI149">
        <v>12</v>
      </c>
      <c r="AJ149">
        <v>26</v>
      </c>
      <c r="AK149">
        <v>13</v>
      </c>
      <c r="AL149">
        <v>13</v>
      </c>
      <c r="AM149">
        <v>22</v>
      </c>
      <c r="AN149">
        <v>10</v>
      </c>
      <c r="AO149">
        <v>12</v>
      </c>
      <c r="AP149">
        <v>11</v>
      </c>
      <c r="AQ149">
        <v>5</v>
      </c>
      <c r="AR149">
        <v>6</v>
      </c>
      <c r="AS149">
        <v>23</v>
      </c>
      <c r="AT149">
        <v>14</v>
      </c>
      <c r="AU149">
        <v>9</v>
      </c>
      <c r="AV149">
        <v>11</v>
      </c>
      <c r="AW149">
        <v>4</v>
      </c>
      <c r="AX149">
        <v>7</v>
      </c>
      <c r="AY149">
        <v>8</v>
      </c>
      <c r="AZ149">
        <v>5</v>
      </c>
      <c r="BA149">
        <v>3</v>
      </c>
      <c r="BB149">
        <v>7</v>
      </c>
      <c r="BC149">
        <v>4</v>
      </c>
      <c r="BD149">
        <v>3</v>
      </c>
    </row>
    <row r="150" spans="1:56" x14ac:dyDescent="0.25">
      <c r="A150" t="s">
        <v>325</v>
      </c>
      <c r="B150">
        <v>251</v>
      </c>
      <c r="C150">
        <v>1265</v>
      </c>
      <c r="D150">
        <v>1265</v>
      </c>
      <c r="F150">
        <v>114</v>
      </c>
      <c r="G150">
        <v>67</v>
      </c>
      <c r="H150">
        <v>47</v>
      </c>
      <c r="I150">
        <v>155</v>
      </c>
      <c r="J150">
        <v>78</v>
      </c>
      <c r="K150">
        <v>77</v>
      </c>
      <c r="L150">
        <v>139</v>
      </c>
      <c r="M150">
        <v>68</v>
      </c>
      <c r="N150">
        <v>71</v>
      </c>
      <c r="O150">
        <v>142</v>
      </c>
      <c r="P150">
        <v>71</v>
      </c>
      <c r="Q150">
        <v>71</v>
      </c>
      <c r="R150">
        <v>122</v>
      </c>
      <c r="S150">
        <v>63</v>
      </c>
      <c r="T150">
        <v>59</v>
      </c>
      <c r="U150">
        <v>117</v>
      </c>
      <c r="V150">
        <v>66</v>
      </c>
      <c r="W150">
        <v>51</v>
      </c>
      <c r="X150">
        <v>104</v>
      </c>
      <c r="Y150">
        <v>66</v>
      </c>
      <c r="Z150">
        <v>38</v>
      </c>
      <c r="AA150">
        <v>80</v>
      </c>
      <c r="AB150">
        <v>39</v>
      </c>
      <c r="AC150">
        <v>41</v>
      </c>
      <c r="AD150">
        <v>59</v>
      </c>
      <c r="AE150">
        <v>30</v>
      </c>
      <c r="AF150">
        <v>29</v>
      </c>
      <c r="AG150">
        <v>64</v>
      </c>
      <c r="AH150">
        <v>37</v>
      </c>
      <c r="AI150">
        <v>27</v>
      </c>
      <c r="AJ150">
        <v>38</v>
      </c>
      <c r="AK150">
        <v>17</v>
      </c>
      <c r="AL150">
        <v>21</v>
      </c>
      <c r="AM150">
        <v>26</v>
      </c>
      <c r="AN150">
        <v>9</v>
      </c>
      <c r="AO150">
        <v>17</v>
      </c>
      <c r="AP150">
        <v>39</v>
      </c>
      <c r="AQ150">
        <v>24</v>
      </c>
      <c r="AR150">
        <v>15</v>
      </c>
      <c r="AS150">
        <v>18</v>
      </c>
      <c r="AT150">
        <v>12</v>
      </c>
      <c r="AU150">
        <v>6</v>
      </c>
      <c r="AV150">
        <v>11</v>
      </c>
      <c r="AW150">
        <v>4</v>
      </c>
      <c r="AX150">
        <v>7</v>
      </c>
      <c r="AY150">
        <v>13</v>
      </c>
      <c r="AZ150">
        <v>7</v>
      </c>
      <c r="BA150">
        <v>6</v>
      </c>
      <c r="BB150">
        <v>24</v>
      </c>
      <c r="BC150">
        <v>7</v>
      </c>
      <c r="BD150">
        <v>17</v>
      </c>
    </row>
    <row r="151" spans="1:56" x14ac:dyDescent="0.25">
      <c r="A151" t="s">
        <v>326</v>
      </c>
      <c r="B151">
        <v>153</v>
      </c>
      <c r="C151">
        <v>809</v>
      </c>
      <c r="D151">
        <v>809</v>
      </c>
      <c r="F151">
        <v>90</v>
      </c>
      <c r="G151">
        <v>50</v>
      </c>
      <c r="H151">
        <v>40</v>
      </c>
      <c r="I151">
        <v>72</v>
      </c>
      <c r="J151">
        <v>36</v>
      </c>
      <c r="K151">
        <v>36</v>
      </c>
      <c r="L151">
        <v>80</v>
      </c>
      <c r="M151">
        <v>47</v>
      </c>
      <c r="N151">
        <v>33</v>
      </c>
      <c r="O151">
        <v>90</v>
      </c>
      <c r="P151">
        <v>50</v>
      </c>
      <c r="Q151">
        <v>40</v>
      </c>
      <c r="R151">
        <v>104</v>
      </c>
      <c r="S151">
        <v>59</v>
      </c>
      <c r="T151">
        <v>45</v>
      </c>
      <c r="U151">
        <v>87</v>
      </c>
      <c r="V151">
        <v>48</v>
      </c>
      <c r="W151">
        <v>39</v>
      </c>
      <c r="X151">
        <v>47</v>
      </c>
      <c r="Y151">
        <v>27</v>
      </c>
      <c r="Z151">
        <v>20</v>
      </c>
      <c r="AA151">
        <v>41</v>
      </c>
      <c r="AB151">
        <v>25</v>
      </c>
      <c r="AC151">
        <v>16</v>
      </c>
      <c r="AD151">
        <v>30</v>
      </c>
      <c r="AE151">
        <v>16</v>
      </c>
      <c r="AF151">
        <v>14</v>
      </c>
      <c r="AG151">
        <v>41</v>
      </c>
      <c r="AH151">
        <v>15</v>
      </c>
      <c r="AI151">
        <v>26</v>
      </c>
      <c r="AJ151">
        <v>37</v>
      </c>
      <c r="AK151">
        <v>21</v>
      </c>
      <c r="AL151">
        <v>16</v>
      </c>
      <c r="AM151">
        <v>22</v>
      </c>
      <c r="AN151">
        <v>12</v>
      </c>
      <c r="AO151">
        <v>10</v>
      </c>
      <c r="AP151">
        <v>27</v>
      </c>
      <c r="AQ151">
        <v>18</v>
      </c>
      <c r="AR151">
        <v>9</v>
      </c>
      <c r="AS151">
        <v>6</v>
      </c>
      <c r="AT151">
        <v>2</v>
      </c>
      <c r="AU151">
        <v>4</v>
      </c>
      <c r="AV151">
        <v>13</v>
      </c>
      <c r="AW151">
        <v>6</v>
      </c>
      <c r="AX151">
        <v>7</v>
      </c>
      <c r="AY151">
        <v>6</v>
      </c>
      <c r="AZ151">
        <v>3</v>
      </c>
      <c r="BA151">
        <v>3</v>
      </c>
      <c r="BB151">
        <v>16</v>
      </c>
      <c r="BC151">
        <v>5</v>
      </c>
      <c r="BD151">
        <v>11</v>
      </c>
    </row>
    <row r="152" spans="1:56" x14ac:dyDescent="0.25">
      <c r="A152" t="s">
        <v>327</v>
      </c>
      <c r="B152">
        <v>102</v>
      </c>
      <c r="C152">
        <v>646</v>
      </c>
      <c r="D152">
        <v>646</v>
      </c>
      <c r="F152">
        <v>64</v>
      </c>
      <c r="G152">
        <v>36</v>
      </c>
      <c r="H152">
        <v>28</v>
      </c>
      <c r="I152">
        <v>78</v>
      </c>
      <c r="J152">
        <v>47</v>
      </c>
      <c r="K152">
        <v>31</v>
      </c>
      <c r="L152">
        <v>67</v>
      </c>
      <c r="M152">
        <v>33</v>
      </c>
      <c r="N152">
        <v>34</v>
      </c>
      <c r="O152">
        <v>99</v>
      </c>
      <c r="P152">
        <v>50</v>
      </c>
      <c r="Q152">
        <v>49</v>
      </c>
      <c r="R152">
        <v>85</v>
      </c>
      <c r="S152">
        <v>40</v>
      </c>
      <c r="T152">
        <v>45</v>
      </c>
      <c r="U152">
        <v>39</v>
      </c>
      <c r="V152">
        <v>19</v>
      </c>
      <c r="W152">
        <v>20</v>
      </c>
      <c r="X152">
        <v>36</v>
      </c>
      <c r="Y152">
        <v>22</v>
      </c>
      <c r="Z152">
        <v>14</v>
      </c>
      <c r="AA152">
        <v>28</v>
      </c>
      <c r="AB152">
        <v>14</v>
      </c>
      <c r="AC152">
        <v>14</v>
      </c>
      <c r="AD152">
        <v>30</v>
      </c>
      <c r="AE152">
        <v>15</v>
      </c>
      <c r="AF152">
        <v>15</v>
      </c>
      <c r="AG152">
        <v>23</v>
      </c>
      <c r="AH152">
        <v>15</v>
      </c>
      <c r="AI152">
        <v>8</v>
      </c>
      <c r="AJ152">
        <v>34</v>
      </c>
      <c r="AK152">
        <v>20</v>
      </c>
      <c r="AL152">
        <v>14</v>
      </c>
      <c r="AM152">
        <v>16</v>
      </c>
      <c r="AN152">
        <v>9</v>
      </c>
      <c r="AO152">
        <v>7</v>
      </c>
      <c r="AP152">
        <v>20</v>
      </c>
      <c r="AQ152">
        <v>7</v>
      </c>
      <c r="AR152">
        <v>13</v>
      </c>
      <c r="AS152">
        <v>11</v>
      </c>
      <c r="AT152">
        <v>6</v>
      </c>
      <c r="AU152">
        <v>5</v>
      </c>
      <c r="AV152">
        <v>5</v>
      </c>
      <c r="AW152">
        <v>3</v>
      </c>
      <c r="AX152">
        <v>2</v>
      </c>
      <c r="AY152">
        <v>5</v>
      </c>
      <c r="AZ152">
        <v>1</v>
      </c>
      <c r="BA152">
        <v>4</v>
      </c>
      <c r="BB152">
        <v>6</v>
      </c>
      <c r="BC152">
        <v>5</v>
      </c>
      <c r="BD152">
        <v>1</v>
      </c>
    </row>
    <row r="153" spans="1:56" x14ac:dyDescent="0.25">
      <c r="A153" t="s">
        <v>328</v>
      </c>
      <c r="B153">
        <v>91</v>
      </c>
      <c r="C153">
        <v>504</v>
      </c>
      <c r="D153">
        <v>504</v>
      </c>
      <c r="F153">
        <v>61</v>
      </c>
      <c r="G153">
        <v>28</v>
      </c>
      <c r="H153">
        <v>33</v>
      </c>
      <c r="I153">
        <v>62</v>
      </c>
      <c r="J153">
        <v>33</v>
      </c>
      <c r="K153">
        <v>29</v>
      </c>
      <c r="L153">
        <v>49</v>
      </c>
      <c r="M153">
        <v>32</v>
      </c>
      <c r="N153">
        <v>17</v>
      </c>
      <c r="O153">
        <v>57</v>
      </c>
      <c r="P153">
        <v>34</v>
      </c>
      <c r="Q153">
        <v>23</v>
      </c>
      <c r="R153">
        <v>51</v>
      </c>
      <c r="S153">
        <v>30</v>
      </c>
      <c r="T153">
        <v>21</v>
      </c>
      <c r="U153">
        <v>39</v>
      </c>
      <c r="V153">
        <v>19</v>
      </c>
      <c r="W153">
        <v>20</v>
      </c>
      <c r="X153">
        <v>34</v>
      </c>
      <c r="Y153">
        <v>20</v>
      </c>
      <c r="Z153">
        <v>14</v>
      </c>
      <c r="AA153">
        <v>25</v>
      </c>
      <c r="AB153">
        <v>15</v>
      </c>
      <c r="AC153">
        <v>10</v>
      </c>
      <c r="AD153">
        <v>31</v>
      </c>
      <c r="AE153">
        <v>13</v>
      </c>
      <c r="AF153">
        <v>18</v>
      </c>
      <c r="AG153">
        <v>21</v>
      </c>
      <c r="AH153">
        <v>11</v>
      </c>
      <c r="AI153">
        <v>10</v>
      </c>
      <c r="AJ153">
        <v>13</v>
      </c>
      <c r="AK153">
        <v>5</v>
      </c>
      <c r="AL153">
        <v>8</v>
      </c>
      <c r="AM153">
        <v>23</v>
      </c>
      <c r="AN153">
        <v>15</v>
      </c>
      <c r="AO153">
        <v>8</v>
      </c>
      <c r="AP153">
        <v>11</v>
      </c>
      <c r="AQ153">
        <v>4</v>
      </c>
      <c r="AR153">
        <v>7</v>
      </c>
      <c r="AS153">
        <v>9</v>
      </c>
      <c r="AT153">
        <v>5</v>
      </c>
      <c r="AU153">
        <v>4</v>
      </c>
      <c r="AV153">
        <v>7</v>
      </c>
      <c r="AW153">
        <v>3</v>
      </c>
      <c r="AX153">
        <v>4</v>
      </c>
      <c r="AY153">
        <v>4</v>
      </c>
      <c r="AZ153">
        <v>1</v>
      </c>
      <c r="BA153">
        <v>3</v>
      </c>
      <c r="BB153">
        <v>7</v>
      </c>
      <c r="BC153">
        <v>2</v>
      </c>
      <c r="BD153">
        <v>5</v>
      </c>
    </row>
    <row r="154" spans="1:56" x14ac:dyDescent="0.25">
      <c r="A154" t="s">
        <v>329</v>
      </c>
      <c r="B154">
        <v>111</v>
      </c>
      <c r="C154">
        <v>604</v>
      </c>
      <c r="D154">
        <v>606</v>
      </c>
      <c r="F154">
        <v>41</v>
      </c>
      <c r="G154">
        <v>22</v>
      </c>
      <c r="H154">
        <v>19</v>
      </c>
      <c r="I154">
        <v>35</v>
      </c>
      <c r="J154">
        <v>17</v>
      </c>
      <c r="K154">
        <v>18</v>
      </c>
      <c r="L154">
        <v>41</v>
      </c>
      <c r="M154">
        <v>18</v>
      </c>
      <c r="N154">
        <v>23</v>
      </c>
      <c r="O154">
        <v>67</v>
      </c>
      <c r="P154">
        <v>38</v>
      </c>
      <c r="Q154">
        <v>29</v>
      </c>
      <c r="R154">
        <v>80</v>
      </c>
      <c r="S154">
        <v>45</v>
      </c>
      <c r="T154">
        <v>35</v>
      </c>
      <c r="U154">
        <v>69</v>
      </c>
      <c r="V154">
        <v>33</v>
      </c>
      <c r="W154">
        <v>36</v>
      </c>
      <c r="X154">
        <v>44</v>
      </c>
      <c r="Y154">
        <v>23</v>
      </c>
      <c r="Z154">
        <v>21</v>
      </c>
      <c r="AA154">
        <v>38</v>
      </c>
      <c r="AB154">
        <v>23</v>
      </c>
      <c r="AC154">
        <v>15</v>
      </c>
      <c r="AD154">
        <v>34</v>
      </c>
      <c r="AE154">
        <v>14</v>
      </c>
      <c r="AF154">
        <v>20</v>
      </c>
      <c r="AG154">
        <v>24</v>
      </c>
      <c r="AH154">
        <v>12</v>
      </c>
      <c r="AI154">
        <v>12</v>
      </c>
      <c r="AJ154">
        <v>23</v>
      </c>
      <c r="AK154">
        <v>10</v>
      </c>
      <c r="AL154">
        <v>13</v>
      </c>
      <c r="AM154">
        <v>24</v>
      </c>
      <c r="AN154">
        <v>11</v>
      </c>
      <c r="AO154">
        <v>13</v>
      </c>
      <c r="AP154">
        <v>27</v>
      </c>
      <c r="AQ154">
        <v>10</v>
      </c>
      <c r="AR154">
        <v>17</v>
      </c>
      <c r="AS154">
        <v>31</v>
      </c>
      <c r="AT154">
        <v>17</v>
      </c>
      <c r="AU154">
        <v>14</v>
      </c>
      <c r="AV154">
        <v>13</v>
      </c>
      <c r="AW154">
        <v>8</v>
      </c>
      <c r="AX154">
        <v>5</v>
      </c>
      <c r="AY154">
        <v>9</v>
      </c>
      <c r="AZ154">
        <v>4</v>
      </c>
      <c r="BA154">
        <v>5</v>
      </c>
      <c r="BB154">
        <v>4</v>
      </c>
      <c r="BC154">
        <v>2</v>
      </c>
      <c r="BD154">
        <v>2</v>
      </c>
    </row>
    <row r="155" spans="1:56" x14ac:dyDescent="0.25">
      <c r="A155" t="s">
        <v>330</v>
      </c>
      <c r="B155">
        <v>150</v>
      </c>
      <c r="C155">
        <v>791</v>
      </c>
      <c r="D155">
        <v>799</v>
      </c>
      <c r="F155">
        <v>75</v>
      </c>
      <c r="G155">
        <v>41</v>
      </c>
      <c r="H155">
        <v>34</v>
      </c>
      <c r="I155">
        <v>85</v>
      </c>
      <c r="J155">
        <v>52</v>
      </c>
      <c r="K155">
        <v>33</v>
      </c>
      <c r="L155">
        <v>65</v>
      </c>
      <c r="M155">
        <v>41</v>
      </c>
      <c r="N155">
        <v>24</v>
      </c>
      <c r="O155">
        <v>85</v>
      </c>
      <c r="P155">
        <v>50</v>
      </c>
      <c r="Q155">
        <v>35</v>
      </c>
      <c r="R155">
        <v>77</v>
      </c>
      <c r="S155">
        <v>52</v>
      </c>
      <c r="T155">
        <v>25</v>
      </c>
      <c r="U155">
        <v>69</v>
      </c>
      <c r="V155">
        <v>42</v>
      </c>
      <c r="W155">
        <v>27</v>
      </c>
      <c r="X155">
        <v>61</v>
      </c>
      <c r="Y155">
        <v>31</v>
      </c>
      <c r="Z155">
        <v>30</v>
      </c>
      <c r="AA155">
        <v>40</v>
      </c>
      <c r="AB155">
        <v>26</v>
      </c>
      <c r="AC155">
        <v>14</v>
      </c>
      <c r="AD155">
        <v>42</v>
      </c>
      <c r="AE155">
        <v>23</v>
      </c>
      <c r="AF155">
        <v>19</v>
      </c>
      <c r="AG155">
        <v>37</v>
      </c>
      <c r="AH155">
        <v>19</v>
      </c>
      <c r="AI155">
        <v>18</v>
      </c>
      <c r="AJ155">
        <v>36</v>
      </c>
      <c r="AK155">
        <v>20</v>
      </c>
      <c r="AL155">
        <v>16</v>
      </c>
      <c r="AM155">
        <v>30</v>
      </c>
      <c r="AN155">
        <v>17</v>
      </c>
      <c r="AO155">
        <v>13</v>
      </c>
      <c r="AP155">
        <v>29</v>
      </c>
      <c r="AQ155">
        <v>14</v>
      </c>
      <c r="AR155">
        <v>15</v>
      </c>
      <c r="AS155">
        <v>29</v>
      </c>
      <c r="AT155">
        <v>18</v>
      </c>
      <c r="AU155">
        <v>11</v>
      </c>
      <c r="AV155">
        <v>13</v>
      </c>
      <c r="AW155">
        <v>6</v>
      </c>
      <c r="AX155">
        <v>7</v>
      </c>
      <c r="AY155">
        <v>10</v>
      </c>
      <c r="AZ155">
        <v>6</v>
      </c>
      <c r="BA155">
        <v>4</v>
      </c>
      <c r="BB155">
        <v>8</v>
      </c>
      <c r="BC155">
        <v>4</v>
      </c>
      <c r="BD155">
        <v>4</v>
      </c>
    </row>
    <row r="156" spans="1:56" x14ac:dyDescent="0.25">
      <c r="A156" t="s">
        <v>200</v>
      </c>
      <c r="B156">
        <v>172</v>
      </c>
      <c r="C156">
        <v>913</v>
      </c>
      <c r="D156">
        <v>913</v>
      </c>
      <c r="F156">
        <v>65</v>
      </c>
      <c r="G156">
        <v>37</v>
      </c>
      <c r="H156">
        <v>28</v>
      </c>
      <c r="I156">
        <v>99</v>
      </c>
      <c r="J156">
        <v>48</v>
      </c>
      <c r="K156">
        <v>51</v>
      </c>
      <c r="L156">
        <v>112</v>
      </c>
      <c r="M156">
        <v>68</v>
      </c>
      <c r="N156">
        <v>44</v>
      </c>
      <c r="O156">
        <v>87</v>
      </c>
      <c r="P156">
        <v>41</v>
      </c>
      <c r="Q156">
        <v>46</v>
      </c>
      <c r="R156">
        <v>78</v>
      </c>
      <c r="S156">
        <v>47</v>
      </c>
      <c r="T156">
        <v>31</v>
      </c>
      <c r="U156">
        <v>62</v>
      </c>
      <c r="V156">
        <v>32</v>
      </c>
      <c r="W156">
        <v>30</v>
      </c>
      <c r="X156">
        <v>68</v>
      </c>
      <c r="Y156">
        <v>35</v>
      </c>
      <c r="Z156">
        <v>33</v>
      </c>
      <c r="AA156">
        <v>58</v>
      </c>
      <c r="AB156">
        <v>34</v>
      </c>
      <c r="AC156">
        <v>24</v>
      </c>
      <c r="AD156">
        <v>76</v>
      </c>
      <c r="AE156">
        <v>36</v>
      </c>
      <c r="AF156">
        <v>40</v>
      </c>
      <c r="AG156">
        <v>60</v>
      </c>
      <c r="AH156">
        <v>35</v>
      </c>
      <c r="AI156">
        <v>25</v>
      </c>
      <c r="AJ156">
        <v>33</v>
      </c>
      <c r="AK156">
        <v>14</v>
      </c>
      <c r="AL156">
        <v>19</v>
      </c>
      <c r="AM156">
        <v>26</v>
      </c>
      <c r="AN156">
        <v>13</v>
      </c>
      <c r="AO156">
        <v>13</v>
      </c>
      <c r="AP156">
        <v>29</v>
      </c>
      <c r="AQ156">
        <v>17</v>
      </c>
      <c r="AR156">
        <v>12</v>
      </c>
      <c r="AS156">
        <v>19</v>
      </c>
      <c r="AT156">
        <v>7</v>
      </c>
      <c r="AU156">
        <v>12</v>
      </c>
      <c r="AV156">
        <v>20</v>
      </c>
      <c r="AW156">
        <v>6</v>
      </c>
      <c r="AX156">
        <v>14</v>
      </c>
      <c r="AY156">
        <v>12</v>
      </c>
      <c r="AZ156">
        <v>4</v>
      </c>
      <c r="BA156">
        <v>8</v>
      </c>
      <c r="BB156">
        <v>9</v>
      </c>
      <c r="BC156">
        <v>3</v>
      </c>
      <c r="BD156">
        <v>6</v>
      </c>
    </row>
    <row r="157" spans="1:56" x14ac:dyDescent="0.25">
      <c r="A157" t="s">
        <v>331</v>
      </c>
      <c r="B157">
        <v>93</v>
      </c>
      <c r="C157">
        <v>522</v>
      </c>
      <c r="D157">
        <v>522</v>
      </c>
      <c r="F157">
        <v>40</v>
      </c>
      <c r="G157">
        <v>17</v>
      </c>
      <c r="H157">
        <v>23</v>
      </c>
      <c r="I157">
        <v>52</v>
      </c>
      <c r="J157">
        <v>33</v>
      </c>
      <c r="K157">
        <v>19</v>
      </c>
      <c r="L157">
        <v>61</v>
      </c>
      <c r="M157">
        <v>35</v>
      </c>
      <c r="N157">
        <v>26</v>
      </c>
      <c r="O157">
        <v>63</v>
      </c>
      <c r="P157">
        <v>36</v>
      </c>
      <c r="Q157">
        <v>27</v>
      </c>
      <c r="R157">
        <v>61</v>
      </c>
      <c r="S157">
        <v>38</v>
      </c>
      <c r="T157">
        <v>23</v>
      </c>
      <c r="U157">
        <v>44</v>
      </c>
      <c r="V157">
        <v>28</v>
      </c>
      <c r="W157">
        <v>16</v>
      </c>
      <c r="X157">
        <v>34</v>
      </c>
      <c r="Y157">
        <v>19</v>
      </c>
      <c r="Z157">
        <v>15</v>
      </c>
      <c r="AA157">
        <v>16</v>
      </c>
      <c r="AB157">
        <v>10</v>
      </c>
      <c r="AC157">
        <v>6</v>
      </c>
      <c r="AD157">
        <v>31</v>
      </c>
      <c r="AE157">
        <v>16</v>
      </c>
      <c r="AF157">
        <v>15</v>
      </c>
      <c r="AG157">
        <v>28</v>
      </c>
      <c r="AH157">
        <v>16</v>
      </c>
      <c r="AI157">
        <v>12</v>
      </c>
      <c r="AJ157">
        <v>20</v>
      </c>
      <c r="AK157">
        <v>9</v>
      </c>
      <c r="AL157">
        <v>11</v>
      </c>
      <c r="AM157">
        <v>18</v>
      </c>
      <c r="AN157">
        <v>7</v>
      </c>
      <c r="AO157">
        <v>11</v>
      </c>
      <c r="AP157">
        <v>14</v>
      </c>
      <c r="AQ157">
        <v>9</v>
      </c>
      <c r="AR157">
        <v>5</v>
      </c>
      <c r="AS157">
        <v>11</v>
      </c>
      <c r="AT157">
        <v>4</v>
      </c>
      <c r="AU157">
        <v>7</v>
      </c>
      <c r="AV157">
        <v>12</v>
      </c>
      <c r="AW157">
        <v>4</v>
      </c>
      <c r="AX157">
        <v>8</v>
      </c>
      <c r="AY157">
        <v>5</v>
      </c>
      <c r="AZ157">
        <v>0</v>
      </c>
      <c r="BA157">
        <v>5</v>
      </c>
      <c r="BB157">
        <v>12</v>
      </c>
      <c r="BC157">
        <v>4</v>
      </c>
      <c r="BD157">
        <v>8</v>
      </c>
    </row>
    <row r="158" spans="1:56" x14ac:dyDescent="0.25">
      <c r="A158" t="s">
        <v>332</v>
      </c>
      <c r="B158">
        <v>90</v>
      </c>
      <c r="C158">
        <v>517</v>
      </c>
      <c r="D158">
        <v>517</v>
      </c>
      <c r="F158">
        <v>46</v>
      </c>
      <c r="G158">
        <v>21</v>
      </c>
      <c r="H158">
        <v>25</v>
      </c>
      <c r="I158">
        <v>47</v>
      </c>
      <c r="J158">
        <v>21</v>
      </c>
      <c r="K158">
        <v>26</v>
      </c>
      <c r="L158">
        <v>48</v>
      </c>
      <c r="M158">
        <v>26</v>
      </c>
      <c r="N158">
        <v>22</v>
      </c>
      <c r="O158">
        <v>69</v>
      </c>
      <c r="P158">
        <v>38</v>
      </c>
      <c r="Q158">
        <v>31</v>
      </c>
      <c r="R158">
        <v>65</v>
      </c>
      <c r="S158">
        <v>25</v>
      </c>
      <c r="T158">
        <v>40</v>
      </c>
      <c r="U158">
        <v>47</v>
      </c>
      <c r="V158">
        <v>34</v>
      </c>
      <c r="W158">
        <v>13</v>
      </c>
      <c r="X158">
        <v>33</v>
      </c>
      <c r="Y158">
        <v>21</v>
      </c>
      <c r="Z158">
        <v>12</v>
      </c>
      <c r="AA158">
        <v>24</v>
      </c>
      <c r="AB158">
        <v>16</v>
      </c>
      <c r="AC158">
        <v>8</v>
      </c>
      <c r="AD158">
        <v>20</v>
      </c>
      <c r="AE158">
        <v>12</v>
      </c>
      <c r="AF158">
        <v>8</v>
      </c>
      <c r="AG158">
        <v>24</v>
      </c>
      <c r="AH158">
        <v>14</v>
      </c>
      <c r="AI158">
        <v>10</v>
      </c>
      <c r="AJ158">
        <v>24</v>
      </c>
      <c r="AK158">
        <v>9</v>
      </c>
      <c r="AL158">
        <v>15</v>
      </c>
      <c r="AM158">
        <v>20</v>
      </c>
      <c r="AN158">
        <v>11</v>
      </c>
      <c r="AO158">
        <v>9</v>
      </c>
      <c r="AP158">
        <v>12</v>
      </c>
      <c r="AQ158">
        <v>4</v>
      </c>
      <c r="AR158">
        <v>8</v>
      </c>
      <c r="AS158">
        <v>7</v>
      </c>
      <c r="AT158">
        <v>3</v>
      </c>
      <c r="AU158">
        <v>4</v>
      </c>
      <c r="AV158">
        <v>16</v>
      </c>
      <c r="AW158">
        <v>7</v>
      </c>
      <c r="AX158">
        <v>9</v>
      </c>
      <c r="AY158">
        <v>9</v>
      </c>
      <c r="AZ158">
        <v>3</v>
      </c>
      <c r="BA158">
        <v>6</v>
      </c>
      <c r="BB158">
        <v>6</v>
      </c>
      <c r="BC158">
        <v>2</v>
      </c>
      <c r="BD158">
        <v>4</v>
      </c>
    </row>
    <row r="159" spans="1:56" x14ac:dyDescent="0.25">
      <c r="A159" t="s">
        <v>333</v>
      </c>
      <c r="B159">
        <v>107</v>
      </c>
      <c r="C159">
        <v>570</v>
      </c>
      <c r="D159">
        <v>570</v>
      </c>
      <c r="F159">
        <v>58</v>
      </c>
      <c r="G159">
        <v>29</v>
      </c>
      <c r="H159">
        <v>29</v>
      </c>
      <c r="I159">
        <v>62</v>
      </c>
      <c r="J159">
        <v>37</v>
      </c>
      <c r="K159">
        <v>25</v>
      </c>
      <c r="L159">
        <v>65</v>
      </c>
      <c r="M159">
        <v>36</v>
      </c>
      <c r="N159">
        <v>29</v>
      </c>
      <c r="O159">
        <v>58</v>
      </c>
      <c r="P159">
        <v>26</v>
      </c>
      <c r="Q159">
        <v>32</v>
      </c>
      <c r="R159">
        <v>66</v>
      </c>
      <c r="S159">
        <v>31</v>
      </c>
      <c r="T159">
        <v>35</v>
      </c>
      <c r="U159">
        <v>52</v>
      </c>
      <c r="V159">
        <v>31</v>
      </c>
      <c r="W159">
        <v>21</v>
      </c>
      <c r="X159">
        <v>38</v>
      </c>
      <c r="Y159">
        <v>20</v>
      </c>
      <c r="Z159">
        <v>18</v>
      </c>
      <c r="AA159">
        <v>38</v>
      </c>
      <c r="AB159">
        <v>26</v>
      </c>
      <c r="AC159">
        <v>12</v>
      </c>
      <c r="AD159">
        <v>23</v>
      </c>
      <c r="AE159">
        <v>13</v>
      </c>
      <c r="AF159">
        <v>10</v>
      </c>
      <c r="AG159">
        <v>22</v>
      </c>
      <c r="AH159">
        <v>9</v>
      </c>
      <c r="AI159">
        <v>13</v>
      </c>
      <c r="AJ159">
        <v>16</v>
      </c>
      <c r="AK159">
        <v>9</v>
      </c>
      <c r="AL159">
        <v>7</v>
      </c>
      <c r="AM159">
        <v>17</v>
      </c>
      <c r="AN159">
        <v>9</v>
      </c>
      <c r="AO159">
        <v>8</v>
      </c>
      <c r="AP159">
        <v>17</v>
      </c>
      <c r="AQ159">
        <v>5</v>
      </c>
      <c r="AR159">
        <v>12</v>
      </c>
      <c r="AS159">
        <v>17</v>
      </c>
      <c r="AT159">
        <v>9</v>
      </c>
      <c r="AU159">
        <v>8</v>
      </c>
      <c r="AV159">
        <v>13</v>
      </c>
      <c r="AW159">
        <v>9</v>
      </c>
      <c r="AX159">
        <v>4</v>
      </c>
      <c r="AY159">
        <v>6</v>
      </c>
      <c r="AZ159">
        <v>3</v>
      </c>
      <c r="BA159">
        <v>3</v>
      </c>
      <c r="BB159">
        <v>2</v>
      </c>
      <c r="BC159">
        <v>1</v>
      </c>
      <c r="BD159">
        <v>1</v>
      </c>
    </row>
    <row r="160" spans="1:56" x14ac:dyDescent="0.25">
      <c r="A160" t="s">
        <v>334</v>
      </c>
      <c r="B160">
        <v>87</v>
      </c>
      <c r="C160">
        <v>504</v>
      </c>
      <c r="D160">
        <v>504</v>
      </c>
      <c r="F160">
        <v>49</v>
      </c>
      <c r="G160">
        <v>22</v>
      </c>
      <c r="H160">
        <v>27</v>
      </c>
      <c r="I160">
        <v>58</v>
      </c>
      <c r="J160">
        <v>25</v>
      </c>
      <c r="K160">
        <v>33</v>
      </c>
      <c r="L160">
        <v>53</v>
      </c>
      <c r="M160">
        <v>26</v>
      </c>
      <c r="N160">
        <v>27</v>
      </c>
      <c r="O160">
        <v>57</v>
      </c>
      <c r="P160">
        <v>29</v>
      </c>
      <c r="Q160">
        <v>28</v>
      </c>
      <c r="R160">
        <v>60</v>
      </c>
      <c r="S160">
        <v>32</v>
      </c>
      <c r="T160">
        <v>28</v>
      </c>
      <c r="U160">
        <v>39</v>
      </c>
      <c r="V160">
        <v>21</v>
      </c>
      <c r="W160">
        <v>18</v>
      </c>
      <c r="X160">
        <v>34</v>
      </c>
      <c r="Y160">
        <v>24</v>
      </c>
      <c r="Z160">
        <v>10</v>
      </c>
      <c r="AA160">
        <v>20</v>
      </c>
      <c r="AB160">
        <v>7</v>
      </c>
      <c r="AC160">
        <v>13</v>
      </c>
      <c r="AD160">
        <v>33</v>
      </c>
      <c r="AE160">
        <v>16</v>
      </c>
      <c r="AF160">
        <v>17</v>
      </c>
      <c r="AG160">
        <v>23</v>
      </c>
      <c r="AH160">
        <v>13</v>
      </c>
      <c r="AI160">
        <v>10</v>
      </c>
      <c r="AJ160">
        <v>16</v>
      </c>
      <c r="AK160">
        <v>8</v>
      </c>
      <c r="AL160">
        <v>8</v>
      </c>
      <c r="AM160">
        <v>9</v>
      </c>
      <c r="AN160">
        <v>6</v>
      </c>
      <c r="AO160">
        <v>3</v>
      </c>
      <c r="AP160">
        <v>13</v>
      </c>
      <c r="AQ160">
        <v>5</v>
      </c>
      <c r="AR160">
        <v>8</v>
      </c>
      <c r="AS160">
        <v>18</v>
      </c>
      <c r="AT160">
        <v>10</v>
      </c>
      <c r="AU160">
        <v>8</v>
      </c>
      <c r="AV160">
        <v>10</v>
      </c>
      <c r="AW160">
        <v>7</v>
      </c>
      <c r="AX160">
        <v>3</v>
      </c>
      <c r="AY160">
        <v>7</v>
      </c>
      <c r="AZ160">
        <v>5</v>
      </c>
      <c r="BA160">
        <v>2</v>
      </c>
      <c r="BB160">
        <v>5</v>
      </c>
      <c r="BC160">
        <v>1</v>
      </c>
      <c r="BD160">
        <v>4</v>
      </c>
    </row>
    <row r="161" spans="1:56" x14ac:dyDescent="0.25">
      <c r="A161" t="s">
        <v>335</v>
      </c>
      <c r="B161">
        <v>107</v>
      </c>
      <c r="C161">
        <v>536</v>
      </c>
      <c r="D161">
        <v>536</v>
      </c>
      <c r="F161">
        <v>68</v>
      </c>
      <c r="G161">
        <v>37</v>
      </c>
      <c r="H161">
        <v>31</v>
      </c>
      <c r="I161">
        <v>63</v>
      </c>
      <c r="J161">
        <v>34</v>
      </c>
      <c r="K161">
        <v>29</v>
      </c>
      <c r="L161">
        <v>59</v>
      </c>
      <c r="M161">
        <v>29</v>
      </c>
      <c r="N161">
        <v>30</v>
      </c>
      <c r="O161">
        <v>53</v>
      </c>
      <c r="P161">
        <v>35</v>
      </c>
      <c r="Q161">
        <v>18</v>
      </c>
      <c r="R161">
        <v>34</v>
      </c>
      <c r="S161">
        <v>17</v>
      </c>
      <c r="T161">
        <v>17</v>
      </c>
      <c r="U161">
        <v>42</v>
      </c>
      <c r="V161">
        <v>18</v>
      </c>
      <c r="W161">
        <v>24</v>
      </c>
      <c r="X161">
        <v>45</v>
      </c>
      <c r="Y161">
        <v>23</v>
      </c>
      <c r="Z161">
        <v>22</v>
      </c>
      <c r="AA161">
        <v>34</v>
      </c>
      <c r="AB161">
        <v>21</v>
      </c>
      <c r="AC161">
        <v>13</v>
      </c>
      <c r="AD161">
        <v>18</v>
      </c>
      <c r="AE161">
        <v>11</v>
      </c>
      <c r="AF161">
        <v>7</v>
      </c>
      <c r="AG161">
        <v>24</v>
      </c>
      <c r="AH161">
        <v>14</v>
      </c>
      <c r="AI161">
        <v>10</v>
      </c>
      <c r="AJ161">
        <v>21</v>
      </c>
      <c r="AK161">
        <v>8</v>
      </c>
      <c r="AL161">
        <v>13</v>
      </c>
      <c r="AM161">
        <v>18</v>
      </c>
      <c r="AN161">
        <v>9</v>
      </c>
      <c r="AO161">
        <v>9</v>
      </c>
      <c r="AP161">
        <v>15</v>
      </c>
      <c r="AQ161">
        <v>6</v>
      </c>
      <c r="AR161">
        <v>9</v>
      </c>
      <c r="AS161">
        <v>21</v>
      </c>
      <c r="AT161">
        <v>8</v>
      </c>
      <c r="AU161">
        <v>13</v>
      </c>
      <c r="AV161">
        <v>8</v>
      </c>
      <c r="AW161">
        <v>5</v>
      </c>
      <c r="AX161">
        <v>3</v>
      </c>
      <c r="AY161">
        <v>9</v>
      </c>
      <c r="AZ161">
        <v>2</v>
      </c>
      <c r="BA161">
        <v>7</v>
      </c>
      <c r="BB161">
        <v>4</v>
      </c>
      <c r="BC161">
        <v>2</v>
      </c>
      <c r="BD161">
        <v>2</v>
      </c>
    </row>
    <row r="162" spans="1:56" x14ac:dyDescent="0.25">
      <c r="A162" t="s">
        <v>336</v>
      </c>
      <c r="B162">
        <v>52</v>
      </c>
      <c r="C162">
        <v>310</v>
      </c>
      <c r="D162">
        <v>310</v>
      </c>
      <c r="F162">
        <v>42</v>
      </c>
      <c r="G162">
        <v>21</v>
      </c>
      <c r="H162">
        <v>21</v>
      </c>
      <c r="I162">
        <v>30</v>
      </c>
      <c r="J162">
        <v>17</v>
      </c>
      <c r="K162">
        <v>13</v>
      </c>
      <c r="L162">
        <v>27</v>
      </c>
      <c r="M162">
        <v>9</v>
      </c>
      <c r="N162">
        <v>18</v>
      </c>
      <c r="O162">
        <v>27</v>
      </c>
      <c r="P162">
        <v>13</v>
      </c>
      <c r="Q162">
        <v>14</v>
      </c>
      <c r="R162">
        <v>39</v>
      </c>
      <c r="S162">
        <v>18</v>
      </c>
      <c r="T162">
        <v>21</v>
      </c>
      <c r="U162">
        <v>34</v>
      </c>
      <c r="V162">
        <v>15</v>
      </c>
      <c r="W162">
        <v>19</v>
      </c>
      <c r="X162">
        <v>20</v>
      </c>
      <c r="Y162">
        <v>13</v>
      </c>
      <c r="Z162">
        <v>7</v>
      </c>
      <c r="AA162">
        <v>16</v>
      </c>
      <c r="AB162">
        <v>6</v>
      </c>
      <c r="AC162">
        <v>10</v>
      </c>
      <c r="AD162">
        <v>15</v>
      </c>
      <c r="AE162">
        <v>10</v>
      </c>
      <c r="AF162">
        <v>5</v>
      </c>
      <c r="AG162">
        <v>9</v>
      </c>
      <c r="AH162">
        <v>5</v>
      </c>
      <c r="AI162">
        <v>4</v>
      </c>
      <c r="AJ162">
        <v>11</v>
      </c>
      <c r="AK162">
        <v>6</v>
      </c>
      <c r="AL162">
        <v>5</v>
      </c>
      <c r="AM162">
        <v>13</v>
      </c>
      <c r="AN162">
        <v>5</v>
      </c>
      <c r="AO162">
        <v>8</v>
      </c>
      <c r="AP162">
        <v>10</v>
      </c>
      <c r="AQ162">
        <v>5</v>
      </c>
      <c r="AR162">
        <v>5</v>
      </c>
      <c r="AS162">
        <v>11</v>
      </c>
      <c r="AT162">
        <v>5</v>
      </c>
      <c r="AU162">
        <v>6</v>
      </c>
      <c r="AV162">
        <v>4</v>
      </c>
      <c r="AW162">
        <v>4</v>
      </c>
      <c r="AX162">
        <v>0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1</v>
      </c>
    </row>
    <row r="163" spans="1:56" x14ac:dyDescent="0.25">
      <c r="A163" t="s">
        <v>337</v>
      </c>
      <c r="B163">
        <v>53</v>
      </c>
      <c r="C163">
        <v>303</v>
      </c>
      <c r="D163">
        <v>303</v>
      </c>
      <c r="F163">
        <v>27</v>
      </c>
      <c r="G163">
        <v>16</v>
      </c>
      <c r="H163">
        <v>11</v>
      </c>
      <c r="I163">
        <v>28</v>
      </c>
      <c r="J163">
        <v>17</v>
      </c>
      <c r="K163">
        <v>11</v>
      </c>
      <c r="L163">
        <v>35</v>
      </c>
      <c r="M163">
        <v>19</v>
      </c>
      <c r="N163">
        <v>16</v>
      </c>
      <c r="O163">
        <v>37</v>
      </c>
      <c r="P163">
        <v>22</v>
      </c>
      <c r="Q163">
        <v>15</v>
      </c>
      <c r="R163">
        <v>26</v>
      </c>
      <c r="S163">
        <v>17</v>
      </c>
      <c r="T163">
        <v>9</v>
      </c>
      <c r="U163">
        <v>22</v>
      </c>
      <c r="V163">
        <v>11</v>
      </c>
      <c r="W163">
        <v>11</v>
      </c>
      <c r="X163">
        <v>20</v>
      </c>
      <c r="Y163">
        <v>10</v>
      </c>
      <c r="Z163">
        <v>10</v>
      </c>
      <c r="AA163">
        <v>23</v>
      </c>
      <c r="AB163">
        <v>10</v>
      </c>
      <c r="AC163">
        <v>13</v>
      </c>
      <c r="AD163">
        <v>15</v>
      </c>
      <c r="AE163">
        <v>8</v>
      </c>
      <c r="AF163">
        <v>7</v>
      </c>
      <c r="AG163">
        <v>12</v>
      </c>
      <c r="AH163">
        <v>7</v>
      </c>
      <c r="AI163">
        <v>5</v>
      </c>
      <c r="AJ163">
        <v>12</v>
      </c>
      <c r="AK163">
        <v>5</v>
      </c>
      <c r="AL163">
        <v>7</v>
      </c>
      <c r="AM163">
        <v>13</v>
      </c>
      <c r="AN163">
        <v>5</v>
      </c>
      <c r="AO163">
        <v>8</v>
      </c>
      <c r="AP163">
        <v>10</v>
      </c>
      <c r="AQ163">
        <v>4</v>
      </c>
      <c r="AR163">
        <v>6</v>
      </c>
      <c r="AS163">
        <v>9</v>
      </c>
      <c r="AT163">
        <v>4</v>
      </c>
      <c r="AU163">
        <v>5</v>
      </c>
      <c r="AV163">
        <v>2</v>
      </c>
      <c r="AW163">
        <v>1</v>
      </c>
      <c r="AX163">
        <v>1</v>
      </c>
      <c r="AY163">
        <v>5</v>
      </c>
      <c r="AZ163">
        <v>2</v>
      </c>
      <c r="BA163">
        <v>3</v>
      </c>
      <c r="BB163">
        <v>7</v>
      </c>
      <c r="BC163">
        <v>4</v>
      </c>
      <c r="BD163">
        <v>3</v>
      </c>
    </row>
    <row r="164" spans="1:56" x14ac:dyDescent="0.25">
      <c r="A164" t="s">
        <v>338</v>
      </c>
      <c r="B164">
        <v>183</v>
      </c>
      <c r="C164">
        <v>963</v>
      </c>
      <c r="D164">
        <v>963</v>
      </c>
      <c r="F164">
        <v>79</v>
      </c>
      <c r="G164">
        <v>43</v>
      </c>
      <c r="H164">
        <v>36</v>
      </c>
      <c r="I164">
        <v>90</v>
      </c>
      <c r="J164">
        <v>44</v>
      </c>
      <c r="K164">
        <v>46</v>
      </c>
      <c r="L164">
        <v>108</v>
      </c>
      <c r="M164">
        <v>57</v>
      </c>
      <c r="N164">
        <v>51</v>
      </c>
      <c r="O164">
        <v>128</v>
      </c>
      <c r="P164">
        <v>72</v>
      </c>
      <c r="Q164">
        <v>56</v>
      </c>
      <c r="R164">
        <v>95</v>
      </c>
      <c r="S164">
        <v>52</v>
      </c>
      <c r="T164">
        <v>43</v>
      </c>
      <c r="U164">
        <v>92</v>
      </c>
      <c r="V164">
        <v>48</v>
      </c>
      <c r="W164">
        <v>44</v>
      </c>
      <c r="X164">
        <v>55</v>
      </c>
      <c r="Y164">
        <v>32</v>
      </c>
      <c r="Z164">
        <v>23</v>
      </c>
      <c r="AA164">
        <v>48</v>
      </c>
      <c r="AB164">
        <v>25</v>
      </c>
      <c r="AC164">
        <v>23</v>
      </c>
      <c r="AD164">
        <v>45</v>
      </c>
      <c r="AE164">
        <v>27</v>
      </c>
      <c r="AF164">
        <v>18</v>
      </c>
      <c r="AG164">
        <v>47</v>
      </c>
      <c r="AH164">
        <v>23</v>
      </c>
      <c r="AI164">
        <v>24</v>
      </c>
      <c r="AJ164">
        <v>22</v>
      </c>
      <c r="AK164">
        <v>10</v>
      </c>
      <c r="AL164">
        <v>12</v>
      </c>
      <c r="AM164">
        <v>35</v>
      </c>
      <c r="AN164">
        <v>12</v>
      </c>
      <c r="AO164">
        <v>23</v>
      </c>
      <c r="AP164">
        <v>42</v>
      </c>
      <c r="AQ164">
        <v>20</v>
      </c>
      <c r="AR164">
        <v>22</v>
      </c>
      <c r="AS164">
        <v>40</v>
      </c>
      <c r="AT164">
        <v>19</v>
      </c>
      <c r="AU164">
        <v>21</v>
      </c>
      <c r="AV164">
        <v>14</v>
      </c>
      <c r="AW164">
        <v>5</v>
      </c>
      <c r="AX164">
        <v>9</v>
      </c>
      <c r="AY164">
        <v>13</v>
      </c>
      <c r="AZ164">
        <v>6</v>
      </c>
      <c r="BA164">
        <v>7</v>
      </c>
      <c r="BB164">
        <v>10</v>
      </c>
      <c r="BC164">
        <v>3</v>
      </c>
      <c r="BD164">
        <v>7</v>
      </c>
    </row>
  </sheetData>
  <mergeCells count="17">
    <mergeCell ref="AM1:AO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P1:AR1"/>
    <mergeCell ref="AS1:AU1"/>
    <mergeCell ref="AV1:AX1"/>
    <mergeCell ref="AY1:BA1"/>
    <mergeCell ref="BB1:B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58D0-F844-408C-9CF9-715A0C22AD81}">
  <dimension ref="A1:E170"/>
  <sheetViews>
    <sheetView topLeftCell="A58" workbookViewId="0">
      <selection activeCell="A81" sqref="A81"/>
    </sheetView>
  </sheetViews>
  <sheetFormatPr defaultRowHeight="15" x14ac:dyDescent="0.25"/>
  <cols>
    <col min="1" max="1" width="17.42578125" bestFit="1" customWidth="1"/>
    <col min="3" max="3" width="15.7109375" bestFit="1" customWidth="1"/>
    <col min="4" max="4" width="21" bestFit="1" customWidth="1"/>
    <col min="5" max="5" width="21.7109375" bestFit="1" customWidth="1"/>
  </cols>
  <sheetData>
    <row r="1" spans="1:5" x14ac:dyDescent="0.25">
      <c r="C1" t="s">
        <v>161</v>
      </c>
      <c r="D1" t="s">
        <v>180</v>
      </c>
      <c r="E1" t="s">
        <v>339</v>
      </c>
    </row>
    <row r="2" spans="1:5" x14ac:dyDescent="0.25">
      <c r="A2" t="s">
        <v>340</v>
      </c>
      <c r="C2">
        <v>235391</v>
      </c>
      <c r="D2">
        <v>235202</v>
      </c>
      <c r="E2">
        <v>55291</v>
      </c>
    </row>
    <row r="3" spans="1:5" x14ac:dyDescent="0.25">
      <c r="A3" t="s">
        <v>341</v>
      </c>
      <c r="C3">
        <v>13332</v>
      </c>
      <c r="D3">
        <v>13332</v>
      </c>
      <c r="E3">
        <v>2620</v>
      </c>
    </row>
    <row r="4" spans="1:5" x14ac:dyDescent="0.25">
      <c r="A4" t="s">
        <v>342</v>
      </c>
      <c r="C4">
        <v>438</v>
      </c>
      <c r="D4">
        <v>438</v>
      </c>
      <c r="E4">
        <v>83</v>
      </c>
    </row>
    <row r="5" spans="1:5" x14ac:dyDescent="0.25">
      <c r="A5" t="s">
        <v>343</v>
      </c>
      <c r="C5">
        <v>1702</v>
      </c>
      <c r="D5">
        <v>1702</v>
      </c>
      <c r="E5">
        <v>331</v>
      </c>
    </row>
    <row r="6" spans="1:5" x14ac:dyDescent="0.25">
      <c r="A6" t="s">
        <v>344</v>
      </c>
      <c r="C6">
        <v>1112</v>
      </c>
      <c r="D6">
        <v>1112</v>
      </c>
      <c r="E6">
        <v>219</v>
      </c>
    </row>
    <row r="7" spans="1:5" x14ac:dyDescent="0.25">
      <c r="A7" t="s">
        <v>345</v>
      </c>
      <c r="C7">
        <v>954</v>
      </c>
      <c r="D7">
        <v>954</v>
      </c>
      <c r="E7">
        <v>204</v>
      </c>
    </row>
    <row r="8" spans="1:5" x14ac:dyDescent="0.25">
      <c r="A8" t="s">
        <v>346</v>
      </c>
      <c r="C8">
        <v>1080</v>
      </c>
      <c r="D8">
        <v>1080</v>
      </c>
      <c r="E8">
        <v>216</v>
      </c>
    </row>
    <row r="9" spans="1:5" x14ac:dyDescent="0.25">
      <c r="A9" t="s">
        <v>347</v>
      </c>
      <c r="C9">
        <v>650</v>
      </c>
      <c r="D9">
        <v>650</v>
      </c>
      <c r="E9">
        <v>125</v>
      </c>
    </row>
    <row r="10" spans="1:5" x14ac:dyDescent="0.25">
      <c r="A10" t="s">
        <v>348</v>
      </c>
      <c r="C10">
        <v>1080</v>
      </c>
      <c r="D10">
        <v>1080</v>
      </c>
      <c r="E10">
        <v>193</v>
      </c>
    </row>
    <row r="11" spans="1:5" x14ac:dyDescent="0.25">
      <c r="A11" t="s">
        <v>349</v>
      </c>
      <c r="C11">
        <v>658</v>
      </c>
      <c r="D11">
        <v>658</v>
      </c>
      <c r="E11">
        <v>128</v>
      </c>
    </row>
    <row r="12" spans="1:5" x14ac:dyDescent="0.25">
      <c r="A12" t="s">
        <v>350</v>
      </c>
      <c r="C12">
        <v>500</v>
      </c>
      <c r="D12">
        <v>500</v>
      </c>
      <c r="E12">
        <v>97</v>
      </c>
    </row>
    <row r="13" spans="1:5" x14ac:dyDescent="0.25">
      <c r="A13" t="s">
        <v>351</v>
      </c>
      <c r="C13">
        <v>1180</v>
      </c>
      <c r="D13">
        <v>1180</v>
      </c>
      <c r="E13">
        <v>206</v>
      </c>
    </row>
    <row r="14" spans="1:5" x14ac:dyDescent="0.25">
      <c r="A14" t="s">
        <v>352</v>
      </c>
      <c r="C14">
        <v>947</v>
      </c>
      <c r="D14">
        <v>947</v>
      </c>
      <c r="E14">
        <v>201</v>
      </c>
    </row>
    <row r="15" spans="1:5" x14ac:dyDescent="0.25">
      <c r="A15" t="s">
        <v>353</v>
      </c>
      <c r="C15">
        <v>1398</v>
      </c>
      <c r="D15">
        <v>1398</v>
      </c>
      <c r="E15">
        <v>305</v>
      </c>
    </row>
    <row r="16" spans="1:5" x14ac:dyDescent="0.25">
      <c r="A16" t="s">
        <v>354</v>
      </c>
      <c r="C16">
        <v>596</v>
      </c>
      <c r="D16">
        <v>596</v>
      </c>
      <c r="E16">
        <v>110</v>
      </c>
    </row>
    <row r="17" spans="1:5" x14ac:dyDescent="0.25">
      <c r="A17" t="s">
        <v>355</v>
      </c>
      <c r="C17">
        <v>1037</v>
      </c>
      <c r="D17">
        <v>1037</v>
      </c>
      <c r="E17">
        <v>202</v>
      </c>
    </row>
    <row r="19" spans="1:5" x14ac:dyDescent="0.25">
      <c r="A19" t="s">
        <v>356</v>
      </c>
      <c r="C19">
        <v>8660</v>
      </c>
      <c r="D19">
        <v>8660</v>
      </c>
      <c r="E19">
        <v>2035</v>
      </c>
    </row>
    <row r="20" spans="1:5" x14ac:dyDescent="0.25">
      <c r="A20" t="s">
        <v>357</v>
      </c>
      <c r="C20">
        <v>1367</v>
      </c>
      <c r="D20">
        <v>1367</v>
      </c>
      <c r="E20">
        <v>306</v>
      </c>
    </row>
    <row r="21" spans="1:5" x14ac:dyDescent="0.25">
      <c r="A21" t="s">
        <v>358</v>
      </c>
      <c r="C21">
        <v>1498</v>
      </c>
      <c r="D21">
        <v>1498</v>
      </c>
      <c r="E21">
        <v>341</v>
      </c>
    </row>
    <row r="22" spans="1:5" x14ac:dyDescent="0.25">
      <c r="A22" t="s">
        <v>359</v>
      </c>
      <c r="C22">
        <v>455</v>
      </c>
      <c r="D22">
        <v>455</v>
      </c>
      <c r="E22">
        <v>114</v>
      </c>
    </row>
    <row r="23" spans="1:5" x14ac:dyDescent="0.25">
      <c r="A23" t="s">
        <v>353</v>
      </c>
      <c r="C23">
        <v>1296</v>
      </c>
      <c r="D23">
        <v>1296</v>
      </c>
      <c r="E23">
        <v>325</v>
      </c>
    </row>
    <row r="24" spans="1:5" x14ac:dyDescent="0.25">
      <c r="A24" t="s">
        <v>360</v>
      </c>
      <c r="C24">
        <v>628</v>
      </c>
      <c r="D24">
        <v>628</v>
      </c>
      <c r="E24">
        <v>130</v>
      </c>
    </row>
    <row r="25" spans="1:5" x14ac:dyDescent="0.25">
      <c r="A25" t="s">
        <v>361</v>
      </c>
      <c r="C25">
        <v>800</v>
      </c>
      <c r="D25">
        <v>800</v>
      </c>
      <c r="E25">
        <v>182</v>
      </c>
    </row>
    <row r="26" spans="1:5" x14ac:dyDescent="0.25">
      <c r="A26" t="s">
        <v>362</v>
      </c>
      <c r="C26">
        <v>719</v>
      </c>
      <c r="D26">
        <v>719</v>
      </c>
      <c r="E26">
        <v>179</v>
      </c>
    </row>
    <row r="27" spans="1:5" x14ac:dyDescent="0.25">
      <c r="A27" t="s">
        <v>363</v>
      </c>
      <c r="C27">
        <v>825</v>
      </c>
      <c r="D27">
        <v>825</v>
      </c>
      <c r="E27">
        <v>188</v>
      </c>
    </row>
    <row r="28" spans="1:5" x14ac:dyDescent="0.25">
      <c r="A28" t="s">
        <v>364</v>
      </c>
      <c r="C28">
        <v>1072</v>
      </c>
      <c r="D28">
        <v>1072</v>
      </c>
      <c r="E28">
        <v>270</v>
      </c>
    </row>
    <row r="30" spans="1:5" x14ac:dyDescent="0.25">
      <c r="A30" t="s">
        <v>365</v>
      </c>
      <c r="C30">
        <v>10690</v>
      </c>
      <c r="D30">
        <v>10690</v>
      </c>
      <c r="E30">
        <v>2227</v>
      </c>
    </row>
    <row r="31" spans="1:5" x14ac:dyDescent="0.25">
      <c r="A31" t="s">
        <v>366</v>
      </c>
      <c r="C31">
        <v>549</v>
      </c>
      <c r="D31">
        <v>549</v>
      </c>
      <c r="E31">
        <v>105</v>
      </c>
    </row>
    <row r="32" spans="1:5" x14ac:dyDescent="0.25">
      <c r="A32" t="s">
        <v>367</v>
      </c>
      <c r="C32">
        <v>1656</v>
      </c>
      <c r="D32">
        <v>1656</v>
      </c>
      <c r="E32">
        <v>412</v>
      </c>
    </row>
    <row r="33" spans="1:5" x14ac:dyDescent="0.25">
      <c r="A33" t="s">
        <v>368</v>
      </c>
      <c r="C33">
        <v>1046</v>
      </c>
      <c r="D33">
        <v>1046</v>
      </c>
      <c r="E33">
        <v>230</v>
      </c>
    </row>
    <row r="34" spans="1:5" x14ac:dyDescent="0.25">
      <c r="A34" t="s">
        <v>369</v>
      </c>
      <c r="C34">
        <v>1429</v>
      </c>
      <c r="D34">
        <v>1429</v>
      </c>
      <c r="E34">
        <v>298</v>
      </c>
    </row>
    <row r="35" spans="1:5" x14ac:dyDescent="0.25">
      <c r="A35" t="s">
        <v>370</v>
      </c>
      <c r="C35">
        <v>361</v>
      </c>
      <c r="D35">
        <v>361</v>
      </c>
      <c r="E35">
        <v>76</v>
      </c>
    </row>
    <row r="36" spans="1:5" x14ac:dyDescent="0.25">
      <c r="A36" t="s">
        <v>371</v>
      </c>
      <c r="C36">
        <v>405</v>
      </c>
      <c r="D36">
        <v>405</v>
      </c>
      <c r="E36">
        <v>84</v>
      </c>
    </row>
    <row r="37" spans="1:5" x14ac:dyDescent="0.25">
      <c r="A37" t="s">
        <v>372</v>
      </c>
      <c r="C37">
        <v>480</v>
      </c>
      <c r="D37">
        <v>480</v>
      </c>
      <c r="E37">
        <v>111</v>
      </c>
    </row>
    <row r="38" spans="1:5" x14ac:dyDescent="0.25">
      <c r="A38" t="s">
        <v>373</v>
      </c>
      <c r="C38">
        <v>405</v>
      </c>
      <c r="D38">
        <v>405</v>
      </c>
      <c r="E38">
        <v>76</v>
      </c>
    </row>
    <row r="39" spans="1:5" x14ac:dyDescent="0.25">
      <c r="A39" t="s">
        <v>374</v>
      </c>
      <c r="C39">
        <v>1123</v>
      </c>
      <c r="D39">
        <v>1123</v>
      </c>
      <c r="E39">
        <v>216</v>
      </c>
    </row>
    <row r="40" spans="1:5" x14ac:dyDescent="0.25">
      <c r="A40" t="s">
        <v>375</v>
      </c>
      <c r="C40">
        <v>812</v>
      </c>
      <c r="D40">
        <v>812</v>
      </c>
      <c r="E40">
        <v>147</v>
      </c>
    </row>
    <row r="41" spans="1:5" x14ac:dyDescent="0.25">
      <c r="A41" t="s">
        <v>376</v>
      </c>
      <c r="C41">
        <v>619</v>
      </c>
      <c r="D41">
        <v>619</v>
      </c>
      <c r="E41">
        <v>111</v>
      </c>
    </row>
    <row r="42" spans="1:5" x14ac:dyDescent="0.25">
      <c r="A42" t="s">
        <v>377</v>
      </c>
      <c r="C42">
        <v>789</v>
      </c>
      <c r="D42">
        <v>789</v>
      </c>
      <c r="E42">
        <v>157</v>
      </c>
    </row>
    <row r="43" spans="1:5" x14ac:dyDescent="0.25">
      <c r="A43" t="s">
        <v>378</v>
      </c>
      <c r="C43">
        <v>526</v>
      </c>
      <c r="D43">
        <v>526</v>
      </c>
      <c r="E43">
        <v>103</v>
      </c>
    </row>
    <row r="44" spans="1:5" x14ac:dyDescent="0.25">
      <c r="A44" t="s">
        <v>379</v>
      </c>
      <c r="C44">
        <v>490</v>
      </c>
      <c r="D44">
        <v>490</v>
      </c>
      <c r="E44">
        <v>101</v>
      </c>
    </row>
    <row r="46" spans="1:5" x14ac:dyDescent="0.25">
      <c r="A46" t="s">
        <v>380</v>
      </c>
      <c r="C46">
        <v>35033</v>
      </c>
      <c r="D46">
        <v>35014</v>
      </c>
      <c r="E46">
        <v>8293</v>
      </c>
    </row>
    <row r="47" spans="1:5" x14ac:dyDescent="0.25">
      <c r="A47" t="s">
        <v>381</v>
      </c>
      <c r="C47">
        <v>1148</v>
      </c>
      <c r="D47">
        <v>1148</v>
      </c>
      <c r="E47">
        <v>262</v>
      </c>
    </row>
    <row r="48" spans="1:5" x14ac:dyDescent="0.25">
      <c r="A48" t="s">
        <v>382</v>
      </c>
      <c r="C48">
        <v>1678</v>
      </c>
      <c r="D48">
        <v>1678</v>
      </c>
      <c r="E48">
        <v>445</v>
      </c>
    </row>
    <row r="49" spans="1:5" x14ac:dyDescent="0.25">
      <c r="A49" t="s">
        <v>383</v>
      </c>
      <c r="C49">
        <v>1956</v>
      </c>
      <c r="D49">
        <v>1956</v>
      </c>
      <c r="E49">
        <v>430</v>
      </c>
    </row>
    <row r="50" spans="1:5" x14ac:dyDescent="0.25">
      <c r="A50" t="s">
        <v>384</v>
      </c>
      <c r="C50">
        <v>2534</v>
      </c>
      <c r="D50">
        <v>2534</v>
      </c>
      <c r="E50">
        <v>529</v>
      </c>
    </row>
    <row r="51" spans="1:5" x14ac:dyDescent="0.25">
      <c r="A51" t="s">
        <v>385</v>
      </c>
      <c r="C51">
        <v>627</v>
      </c>
      <c r="D51">
        <v>627</v>
      </c>
      <c r="E51">
        <v>161</v>
      </c>
    </row>
    <row r="52" spans="1:5" x14ac:dyDescent="0.25">
      <c r="A52" t="s">
        <v>386</v>
      </c>
      <c r="C52">
        <v>1492</v>
      </c>
      <c r="D52">
        <v>1492</v>
      </c>
      <c r="E52">
        <v>307</v>
      </c>
    </row>
    <row r="53" spans="1:5" x14ac:dyDescent="0.25">
      <c r="A53" t="s">
        <v>387</v>
      </c>
      <c r="C53">
        <v>2195</v>
      </c>
      <c r="D53">
        <v>2195</v>
      </c>
      <c r="E53">
        <v>460</v>
      </c>
    </row>
    <row r="54" spans="1:5" x14ac:dyDescent="0.25">
      <c r="A54" t="s">
        <v>388</v>
      </c>
      <c r="C54">
        <v>1221</v>
      </c>
      <c r="D54">
        <v>1221</v>
      </c>
      <c r="E54">
        <v>310</v>
      </c>
    </row>
    <row r="55" spans="1:5" x14ac:dyDescent="0.25">
      <c r="A55" t="s">
        <v>389</v>
      </c>
      <c r="C55">
        <v>988</v>
      </c>
      <c r="D55">
        <v>969</v>
      </c>
      <c r="E55">
        <v>232</v>
      </c>
    </row>
    <row r="56" spans="1:5" x14ac:dyDescent="0.25">
      <c r="A56" t="s">
        <v>390</v>
      </c>
      <c r="C56">
        <v>1886</v>
      </c>
      <c r="D56">
        <v>1886</v>
      </c>
      <c r="E56">
        <v>486</v>
      </c>
    </row>
    <row r="57" spans="1:5" x14ac:dyDescent="0.25">
      <c r="A57" t="s">
        <v>391</v>
      </c>
      <c r="C57">
        <v>1338</v>
      </c>
      <c r="D57">
        <v>1338</v>
      </c>
      <c r="E57">
        <v>306</v>
      </c>
    </row>
    <row r="58" spans="1:5" x14ac:dyDescent="0.25">
      <c r="A58" t="s">
        <v>392</v>
      </c>
      <c r="C58">
        <v>1198</v>
      </c>
      <c r="D58">
        <v>1198</v>
      </c>
      <c r="E58">
        <v>315</v>
      </c>
    </row>
    <row r="59" spans="1:5" x14ac:dyDescent="0.25">
      <c r="A59" t="s">
        <v>393</v>
      </c>
      <c r="C59">
        <v>946</v>
      </c>
      <c r="D59">
        <v>946</v>
      </c>
      <c r="E59">
        <v>227</v>
      </c>
    </row>
    <row r="60" spans="1:5" x14ac:dyDescent="0.25">
      <c r="A60" t="s">
        <v>394</v>
      </c>
      <c r="C60">
        <v>925</v>
      </c>
      <c r="D60">
        <v>925</v>
      </c>
      <c r="E60">
        <v>207</v>
      </c>
    </row>
    <row r="61" spans="1:5" x14ac:dyDescent="0.25">
      <c r="A61" t="s">
        <v>395</v>
      </c>
      <c r="C61">
        <v>971</v>
      </c>
      <c r="D61">
        <v>971</v>
      </c>
      <c r="E61">
        <v>211</v>
      </c>
    </row>
    <row r="62" spans="1:5" x14ac:dyDescent="0.25">
      <c r="A62" t="s">
        <v>396</v>
      </c>
      <c r="C62">
        <v>2157</v>
      </c>
      <c r="D62">
        <v>2157</v>
      </c>
      <c r="E62">
        <v>487</v>
      </c>
    </row>
    <row r="63" spans="1:5" x14ac:dyDescent="0.25">
      <c r="A63" t="s">
        <v>397</v>
      </c>
      <c r="C63">
        <v>960</v>
      </c>
      <c r="D63">
        <v>960</v>
      </c>
      <c r="E63">
        <v>256</v>
      </c>
    </row>
    <row r="64" spans="1:5" x14ac:dyDescent="0.25">
      <c r="A64" t="s">
        <v>398</v>
      </c>
      <c r="C64">
        <v>1055</v>
      </c>
      <c r="D64">
        <v>1055</v>
      </c>
      <c r="E64">
        <v>264</v>
      </c>
    </row>
    <row r="65" spans="1:5" x14ac:dyDescent="0.25">
      <c r="A65" t="s">
        <v>399</v>
      </c>
      <c r="C65">
        <v>3141</v>
      </c>
      <c r="D65">
        <v>3141</v>
      </c>
      <c r="E65">
        <v>806</v>
      </c>
    </row>
    <row r="66" spans="1:5" x14ac:dyDescent="0.25">
      <c r="A66" t="s">
        <v>400</v>
      </c>
      <c r="C66">
        <v>1953</v>
      </c>
      <c r="D66">
        <v>1953</v>
      </c>
      <c r="E66">
        <v>481</v>
      </c>
    </row>
    <row r="67" spans="1:5" x14ac:dyDescent="0.25">
      <c r="A67" t="s">
        <v>401</v>
      </c>
      <c r="C67">
        <v>2704</v>
      </c>
      <c r="D67">
        <v>2704</v>
      </c>
      <c r="E67">
        <v>640</v>
      </c>
    </row>
    <row r="68" spans="1:5" x14ac:dyDescent="0.25">
      <c r="A68" t="s">
        <v>402</v>
      </c>
      <c r="C68">
        <v>867</v>
      </c>
      <c r="D68">
        <v>867</v>
      </c>
      <c r="E68">
        <v>182</v>
      </c>
    </row>
    <row r="69" spans="1:5" x14ac:dyDescent="0.25">
      <c r="A69" t="s">
        <v>403</v>
      </c>
      <c r="C69">
        <v>1093</v>
      </c>
      <c r="D69">
        <v>1093</v>
      </c>
      <c r="E69">
        <v>289</v>
      </c>
    </row>
    <row r="71" spans="1:5" x14ac:dyDescent="0.25">
      <c r="A71" t="s">
        <v>404</v>
      </c>
      <c r="C71">
        <v>20491</v>
      </c>
      <c r="D71">
        <v>20491</v>
      </c>
      <c r="E71">
        <v>5284</v>
      </c>
    </row>
    <row r="72" spans="1:5" x14ac:dyDescent="0.25">
      <c r="A72" t="s">
        <v>405</v>
      </c>
      <c r="C72">
        <v>1125</v>
      </c>
      <c r="D72">
        <v>1125</v>
      </c>
      <c r="E72">
        <v>317</v>
      </c>
    </row>
    <row r="73" spans="1:5" x14ac:dyDescent="0.25">
      <c r="A73" t="s">
        <v>406</v>
      </c>
      <c r="C73">
        <v>1360</v>
      </c>
      <c r="D73">
        <v>1360</v>
      </c>
      <c r="E73">
        <v>365</v>
      </c>
    </row>
    <row r="74" spans="1:5" x14ac:dyDescent="0.25">
      <c r="A74" t="s">
        <v>407</v>
      </c>
      <c r="C74">
        <v>1131</v>
      </c>
      <c r="D74">
        <v>1131</v>
      </c>
      <c r="E74">
        <v>333</v>
      </c>
    </row>
    <row r="75" spans="1:5" x14ac:dyDescent="0.25">
      <c r="A75" t="s">
        <v>408</v>
      </c>
      <c r="C75">
        <v>1751</v>
      </c>
      <c r="D75">
        <v>1751</v>
      </c>
      <c r="E75">
        <v>433</v>
      </c>
    </row>
    <row r="76" spans="1:5" x14ac:dyDescent="0.25">
      <c r="A76" t="s">
        <v>409</v>
      </c>
      <c r="C76">
        <v>3543</v>
      </c>
      <c r="D76">
        <v>3543</v>
      </c>
      <c r="E76">
        <v>851</v>
      </c>
    </row>
    <row r="77" spans="1:5" x14ac:dyDescent="0.25">
      <c r="A77" t="s">
        <v>410</v>
      </c>
      <c r="C77">
        <v>1977</v>
      </c>
      <c r="D77">
        <v>1977</v>
      </c>
      <c r="E77">
        <v>484</v>
      </c>
    </row>
    <row r="78" spans="1:5" x14ac:dyDescent="0.25">
      <c r="A78" t="s">
        <v>411</v>
      </c>
      <c r="C78">
        <v>1481</v>
      </c>
      <c r="D78">
        <v>1481</v>
      </c>
      <c r="E78">
        <v>373</v>
      </c>
    </row>
    <row r="79" spans="1:5" x14ac:dyDescent="0.25">
      <c r="A79" t="s">
        <v>412</v>
      </c>
      <c r="C79">
        <v>567</v>
      </c>
      <c r="D79">
        <v>567</v>
      </c>
      <c r="E79">
        <v>144</v>
      </c>
    </row>
    <row r="80" spans="1:5" x14ac:dyDescent="0.25">
      <c r="A80" t="s">
        <v>413</v>
      </c>
      <c r="C80">
        <v>1618</v>
      </c>
      <c r="D80">
        <v>1618</v>
      </c>
      <c r="E80">
        <v>406</v>
      </c>
    </row>
    <row r="81" spans="1:5" x14ac:dyDescent="0.25">
      <c r="A81" t="s">
        <v>414</v>
      </c>
      <c r="C81">
        <v>2283</v>
      </c>
      <c r="D81">
        <v>2283</v>
      </c>
      <c r="E81">
        <v>660</v>
      </c>
    </row>
    <row r="82" spans="1:5" x14ac:dyDescent="0.25">
      <c r="A82" t="s">
        <v>415</v>
      </c>
      <c r="C82">
        <v>1249</v>
      </c>
      <c r="D82">
        <v>1249</v>
      </c>
      <c r="E82">
        <v>322</v>
      </c>
    </row>
    <row r="83" spans="1:5" x14ac:dyDescent="0.25">
      <c r="A83" t="s">
        <v>416</v>
      </c>
      <c r="C83">
        <v>846</v>
      </c>
      <c r="D83">
        <v>846</v>
      </c>
      <c r="E83">
        <v>222</v>
      </c>
    </row>
    <row r="84" spans="1:5" x14ac:dyDescent="0.25">
      <c r="A84" t="s">
        <v>417</v>
      </c>
      <c r="C84">
        <v>731</v>
      </c>
      <c r="D84">
        <v>731</v>
      </c>
      <c r="E84">
        <v>170</v>
      </c>
    </row>
    <row r="85" spans="1:5" x14ac:dyDescent="0.25">
      <c r="A85" t="s">
        <v>418</v>
      </c>
      <c r="C85">
        <v>829</v>
      </c>
      <c r="D85">
        <v>829</v>
      </c>
      <c r="E85">
        <v>204</v>
      </c>
    </row>
    <row r="87" spans="1:5" x14ac:dyDescent="0.25">
      <c r="A87" t="s">
        <v>419</v>
      </c>
      <c r="C87">
        <v>122771</v>
      </c>
      <c r="D87">
        <v>122601</v>
      </c>
      <c r="E87">
        <v>29688</v>
      </c>
    </row>
    <row r="88" spans="1:5" x14ac:dyDescent="0.25">
      <c r="A88" t="s">
        <v>420</v>
      </c>
      <c r="C88">
        <v>6047</v>
      </c>
      <c r="D88">
        <v>6045</v>
      </c>
      <c r="E88">
        <v>1386</v>
      </c>
    </row>
    <row r="89" spans="1:5" x14ac:dyDescent="0.25">
      <c r="A89" t="s">
        <v>421</v>
      </c>
      <c r="C89">
        <v>913</v>
      </c>
      <c r="D89">
        <v>913</v>
      </c>
      <c r="E89">
        <v>226</v>
      </c>
    </row>
    <row r="90" spans="1:5" x14ac:dyDescent="0.25">
      <c r="A90" t="s">
        <v>422</v>
      </c>
      <c r="C90">
        <v>3075</v>
      </c>
      <c r="D90">
        <v>3075</v>
      </c>
      <c r="E90">
        <v>822</v>
      </c>
    </row>
    <row r="91" spans="1:5" x14ac:dyDescent="0.25">
      <c r="A91" t="s">
        <v>423</v>
      </c>
      <c r="C91">
        <v>918</v>
      </c>
      <c r="D91">
        <v>918</v>
      </c>
      <c r="E91">
        <v>223</v>
      </c>
    </row>
    <row r="92" spans="1:5" x14ac:dyDescent="0.25">
      <c r="A92" t="s">
        <v>424</v>
      </c>
      <c r="C92">
        <v>1739</v>
      </c>
      <c r="D92">
        <v>1739</v>
      </c>
      <c r="E92">
        <v>386</v>
      </c>
    </row>
    <row r="93" spans="1:5" x14ac:dyDescent="0.25">
      <c r="A93" t="s">
        <v>425</v>
      </c>
      <c r="C93">
        <v>2365</v>
      </c>
      <c r="D93">
        <v>2365</v>
      </c>
      <c r="E93">
        <v>604</v>
      </c>
    </row>
    <row r="94" spans="1:5" x14ac:dyDescent="0.25">
      <c r="A94" t="s">
        <v>426</v>
      </c>
      <c r="C94">
        <v>1520</v>
      </c>
      <c r="D94">
        <v>1520</v>
      </c>
      <c r="E94">
        <v>361</v>
      </c>
    </row>
    <row r="95" spans="1:5" x14ac:dyDescent="0.25">
      <c r="A95" t="s">
        <v>427</v>
      </c>
      <c r="C95">
        <v>21219</v>
      </c>
      <c r="D95">
        <v>21078</v>
      </c>
      <c r="E95">
        <v>5307</v>
      </c>
    </row>
    <row r="96" spans="1:5" x14ac:dyDescent="0.25">
      <c r="A96" t="s">
        <v>428</v>
      </c>
      <c r="C96">
        <v>1181</v>
      </c>
      <c r="D96">
        <v>1181</v>
      </c>
      <c r="E96">
        <v>284</v>
      </c>
    </row>
    <row r="97" spans="1:5" x14ac:dyDescent="0.25">
      <c r="A97" t="s">
        <v>429</v>
      </c>
      <c r="C97">
        <v>2219</v>
      </c>
      <c r="D97">
        <v>2219</v>
      </c>
      <c r="E97">
        <v>549</v>
      </c>
    </row>
    <row r="98" spans="1:5" x14ac:dyDescent="0.25">
      <c r="A98" t="s">
        <v>430</v>
      </c>
      <c r="C98">
        <v>1408</v>
      </c>
      <c r="D98">
        <v>1408</v>
      </c>
      <c r="E98">
        <v>341</v>
      </c>
    </row>
    <row r="99" spans="1:5" x14ac:dyDescent="0.25">
      <c r="A99" t="s">
        <v>431</v>
      </c>
      <c r="C99">
        <v>2062</v>
      </c>
      <c r="D99">
        <v>2062</v>
      </c>
      <c r="E99">
        <v>497</v>
      </c>
    </row>
    <row r="100" spans="1:5" x14ac:dyDescent="0.25">
      <c r="A100" t="s">
        <v>432</v>
      </c>
      <c r="C100">
        <v>4878</v>
      </c>
      <c r="D100">
        <v>4878</v>
      </c>
      <c r="E100">
        <v>1142</v>
      </c>
    </row>
    <row r="101" spans="1:5" x14ac:dyDescent="0.25">
      <c r="A101" t="s">
        <v>433</v>
      </c>
      <c r="C101">
        <v>1150</v>
      </c>
      <c r="D101">
        <v>1150</v>
      </c>
      <c r="E101">
        <v>274</v>
      </c>
    </row>
    <row r="102" spans="1:5" x14ac:dyDescent="0.25">
      <c r="A102" t="s">
        <v>434</v>
      </c>
      <c r="C102">
        <v>2288</v>
      </c>
      <c r="D102">
        <v>2288</v>
      </c>
      <c r="E102">
        <v>501</v>
      </c>
    </row>
    <row r="103" spans="1:5" x14ac:dyDescent="0.25">
      <c r="A103" t="s">
        <v>435</v>
      </c>
      <c r="C103">
        <v>1072</v>
      </c>
      <c r="D103">
        <v>1072</v>
      </c>
      <c r="E103">
        <v>248</v>
      </c>
    </row>
    <row r="104" spans="1:5" x14ac:dyDescent="0.25">
      <c r="A104" t="s">
        <v>436</v>
      </c>
      <c r="C104">
        <v>1453</v>
      </c>
      <c r="D104">
        <v>1453</v>
      </c>
      <c r="E104">
        <v>338</v>
      </c>
    </row>
    <row r="105" spans="1:5" x14ac:dyDescent="0.25">
      <c r="A105" t="s">
        <v>437</v>
      </c>
      <c r="C105">
        <v>2450</v>
      </c>
      <c r="D105">
        <v>2450</v>
      </c>
      <c r="E105">
        <v>656</v>
      </c>
    </row>
    <row r="106" spans="1:5" x14ac:dyDescent="0.25">
      <c r="A106" t="s">
        <v>438</v>
      </c>
      <c r="C106">
        <v>3194</v>
      </c>
      <c r="D106">
        <v>3194</v>
      </c>
      <c r="E106">
        <v>755</v>
      </c>
    </row>
    <row r="107" spans="1:5" x14ac:dyDescent="0.25">
      <c r="A107" t="s">
        <v>439</v>
      </c>
      <c r="C107">
        <v>1674</v>
      </c>
      <c r="D107">
        <v>1674</v>
      </c>
      <c r="E107">
        <v>378</v>
      </c>
    </row>
    <row r="108" spans="1:5" x14ac:dyDescent="0.25">
      <c r="A108" t="s">
        <v>440</v>
      </c>
      <c r="C108">
        <v>1281</v>
      </c>
      <c r="D108">
        <v>1281</v>
      </c>
      <c r="E108">
        <v>311</v>
      </c>
    </row>
    <row r="109" spans="1:5" x14ac:dyDescent="0.25">
      <c r="A109" t="s">
        <v>441</v>
      </c>
      <c r="C109">
        <v>5036</v>
      </c>
      <c r="D109">
        <v>5010</v>
      </c>
      <c r="E109">
        <v>1262</v>
      </c>
    </row>
    <row r="110" spans="1:5" x14ac:dyDescent="0.25">
      <c r="A110" t="s">
        <v>442</v>
      </c>
      <c r="C110">
        <v>526</v>
      </c>
      <c r="D110">
        <v>526</v>
      </c>
      <c r="E110">
        <v>133</v>
      </c>
    </row>
    <row r="111" spans="1:5" x14ac:dyDescent="0.25">
      <c r="A111" t="s">
        <v>443</v>
      </c>
      <c r="C111">
        <v>1135</v>
      </c>
      <c r="D111">
        <v>1135</v>
      </c>
      <c r="E111">
        <v>277</v>
      </c>
    </row>
    <row r="112" spans="1:5" x14ac:dyDescent="0.25">
      <c r="A112" t="s">
        <v>444</v>
      </c>
      <c r="C112">
        <v>4419</v>
      </c>
      <c r="D112">
        <v>4418</v>
      </c>
      <c r="E112">
        <v>1139</v>
      </c>
    </row>
    <row r="113" spans="1:5" x14ac:dyDescent="0.25">
      <c r="A113" t="s">
        <v>445</v>
      </c>
      <c r="C113">
        <v>1425</v>
      </c>
      <c r="D113">
        <v>1425</v>
      </c>
      <c r="E113">
        <v>349</v>
      </c>
    </row>
    <row r="114" spans="1:5" x14ac:dyDescent="0.25">
      <c r="A114" t="s">
        <v>446</v>
      </c>
      <c r="C114">
        <v>714</v>
      </c>
      <c r="D114">
        <v>714</v>
      </c>
      <c r="E114">
        <v>144</v>
      </c>
    </row>
    <row r="115" spans="1:5" x14ac:dyDescent="0.25">
      <c r="A115" t="s">
        <v>447</v>
      </c>
      <c r="C115">
        <v>2168</v>
      </c>
      <c r="D115">
        <v>2168</v>
      </c>
      <c r="E115">
        <v>535</v>
      </c>
    </row>
    <row r="116" spans="1:5" x14ac:dyDescent="0.25">
      <c r="A116" t="s">
        <v>448</v>
      </c>
      <c r="C116">
        <v>3289</v>
      </c>
      <c r="D116">
        <v>3289</v>
      </c>
      <c r="E116">
        <v>753</v>
      </c>
    </row>
    <row r="117" spans="1:5" x14ac:dyDescent="0.25">
      <c r="A117" t="s">
        <v>449</v>
      </c>
      <c r="C117">
        <v>425</v>
      </c>
      <c r="D117">
        <v>425</v>
      </c>
      <c r="E117">
        <v>112</v>
      </c>
    </row>
    <row r="118" spans="1:5" x14ac:dyDescent="0.25">
      <c r="A118" t="s">
        <v>450</v>
      </c>
      <c r="C118">
        <v>1748</v>
      </c>
      <c r="D118">
        <v>1748</v>
      </c>
      <c r="E118">
        <v>389</v>
      </c>
    </row>
    <row r="119" spans="1:5" x14ac:dyDescent="0.25">
      <c r="A119" t="s">
        <v>451</v>
      </c>
      <c r="C119">
        <v>2430</v>
      </c>
      <c r="D119">
        <v>2430</v>
      </c>
      <c r="E119">
        <v>569</v>
      </c>
    </row>
    <row r="120" spans="1:5" x14ac:dyDescent="0.25">
      <c r="A120" t="s">
        <v>452</v>
      </c>
      <c r="C120">
        <v>4165</v>
      </c>
      <c r="D120">
        <v>4165</v>
      </c>
      <c r="E120">
        <v>874</v>
      </c>
    </row>
    <row r="121" spans="1:5" x14ac:dyDescent="0.25">
      <c r="A121" t="s">
        <v>453</v>
      </c>
      <c r="C121">
        <v>2379</v>
      </c>
      <c r="D121">
        <v>2379</v>
      </c>
      <c r="E121">
        <v>614</v>
      </c>
    </row>
    <row r="122" spans="1:5" x14ac:dyDescent="0.25">
      <c r="A122" t="s">
        <v>454</v>
      </c>
      <c r="C122">
        <v>3341</v>
      </c>
      <c r="D122">
        <v>3341</v>
      </c>
      <c r="E122">
        <v>809</v>
      </c>
    </row>
    <row r="123" spans="1:5" x14ac:dyDescent="0.25">
      <c r="A123" t="s">
        <v>455</v>
      </c>
      <c r="C123">
        <v>4933</v>
      </c>
      <c r="D123">
        <v>4933</v>
      </c>
      <c r="E123">
        <v>1357</v>
      </c>
    </row>
    <row r="124" spans="1:5" x14ac:dyDescent="0.25">
      <c r="A124" t="s">
        <v>456</v>
      </c>
      <c r="C124">
        <v>3766</v>
      </c>
      <c r="D124">
        <v>3766</v>
      </c>
      <c r="E124">
        <v>803</v>
      </c>
    </row>
    <row r="125" spans="1:5" x14ac:dyDescent="0.25">
      <c r="A125" t="s">
        <v>457</v>
      </c>
      <c r="C125">
        <v>2343</v>
      </c>
      <c r="D125">
        <v>2343</v>
      </c>
      <c r="E125">
        <v>500</v>
      </c>
    </row>
    <row r="126" spans="1:5" x14ac:dyDescent="0.25">
      <c r="A126" t="s">
        <v>458</v>
      </c>
      <c r="C126">
        <v>1573</v>
      </c>
      <c r="D126">
        <v>1573</v>
      </c>
      <c r="E126">
        <v>338</v>
      </c>
    </row>
    <row r="127" spans="1:5" x14ac:dyDescent="0.25">
      <c r="A127" t="s">
        <v>459</v>
      </c>
      <c r="C127">
        <v>1392</v>
      </c>
      <c r="D127">
        <v>1392</v>
      </c>
      <c r="E127">
        <v>366</v>
      </c>
    </row>
    <row r="128" spans="1:5" x14ac:dyDescent="0.25">
      <c r="A128" t="s">
        <v>460</v>
      </c>
      <c r="C128">
        <v>6168</v>
      </c>
      <c r="D128">
        <v>6168</v>
      </c>
      <c r="E128">
        <v>1470</v>
      </c>
    </row>
    <row r="129" spans="1:5" x14ac:dyDescent="0.25">
      <c r="A129" t="s">
        <v>461</v>
      </c>
      <c r="C129">
        <v>3863</v>
      </c>
      <c r="D129">
        <v>3863</v>
      </c>
      <c r="E129">
        <v>1009</v>
      </c>
    </row>
    <row r="130" spans="1:5" x14ac:dyDescent="0.25">
      <c r="A130" t="s">
        <v>462</v>
      </c>
      <c r="C130">
        <v>1427</v>
      </c>
      <c r="D130">
        <v>1427</v>
      </c>
      <c r="E130">
        <v>297</v>
      </c>
    </row>
    <row r="132" spans="1:5" x14ac:dyDescent="0.25">
      <c r="A132" t="s">
        <v>463</v>
      </c>
      <c r="C132">
        <v>11103</v>
      </c>
      <c r="D132">
        <v>11103</v>
      </c>
      <c r="E132">
        <v>2344</v>
      </c>
    </row>
    <row r="133" spans="1:5" x14ac:dyDescent="0.25">
      <c r="A133" t="s">
        <v>464</v>
      </c>
      <c r="C133">
        <v>335</v>
      </c>
      <c r="D133">
        <v>335</v>
      </c>
      <c r="E133">
        <v>69</v>
      </c>
    </row>
    <row r="134" spans="1:5" x14ac:dyDescent="0.25">
      <c r="A134" t="s">
        <v>465</v>
      </c>
      <c r="C134">
        <v>414</v>
      </c>
      <c r="D134">
        <v>414</v>
      </c>
      <c r="E134">
        <v>73</v>
      </c>
    </row>
    <row r="135" spans="1:5" x14ac:dyDescent="0.25">
      <c r="A135" t="s">
        <v>466</v>
      </c>
      <c r="C135">
        <v>687</v>
      </c>
      <c r="D135">
        <v>687</v>
      </c>
      <c r="E135">
        <v>92</v>
      </c>
    </row>
    <row r="136" spans="1:5" x14ac:dyDescent="0.25">
      <c r="A136" t="s">
        <v>467</v>
      </c>
      <c r="C136">
        <v>671</v>
      </c>
      <c r="D136">
        <v>671</v>
      </c>
      <c r="E136">
        <v>107</v>
      </c>
    </row>
    <row r="137" spans="1:5" x14ac:dyDescent="0.25">
      <c r="A137" t="s">
        <v>468</v>
      </c>
      <c r="C137">
        <v>354</v>
      </c>
      <c r="D137">
        <v>354</v>
      </c>
      <c r="E137">
        <v>69</v>
      </c>
    </row>
    <row r="138" spans="1:5" x14ac:dyDescent="0.25">
      <c r="A138" t="s">
        <v>469</v>
      </c>
      <c r="C138">
        <v>442</v>
      </c>
      <c r="D138">
        <v>442</v>
      </c>
      <c r="E138">
        <v>121</v>
      </c>
    </row>
    <row r="139" spans="1:5" x14ac:dyDescent="0.25">
      <c r="A139" t="s">
        <v>470</v>
      </c>
      <c r="C139">
        <v>668</v>
      </c>
      <c r="D139">
        <v>668</v>
      </c>
      <c r="E139">
        <v>144</v>
      </c>
    </row>
    <row r="140" spans="1:5" x14ac:dyDescent="0.25">
      <c r="A140" t="s">
        <v>471</v>
      </c>
      <c r="C140">
        <v>547</v>
      </c>
      <c r="D140">
        <v>547</v>
      </c>
      <c r="E140">
        <v>94</v>
      </c>
    </row>
    <row r="141" spans="1:5" x14ac:dyDescent="0.25">
      <c r="A141" t="s">
        <v>349</v>
      </c>
      <c r="C141">
        <v>1004</v>
      </c>
      <c r="D141">
        <v>1004</v>
      </c>
      <c r="E141">
        <v>244</v>
      </c>
    </row>
    <row r="142" spans="1:5" x14ac:dyDescent="0.25">
      <c r="A142" t="s">
        <v>472</v>
      </c>
      <c r="C142">
        <v>1092</v>
      </c>
      <c r="D142">
        <v>1092</v>
      </c>
      <c r="E142">
        <v>269</v>
      </c>
    </row>
    <row r="143" spans="1:5" x14ac:dyDescent="0.25">
      <c r="A143" t="s">
        <v>353</v>
      </c>
      <c r="C143">
        <v>562</v>
      </c>
      <c r="D143">
        <v>562</v>
      </c>
      <c r="E143">
        <v>96</v>
      </c>
    </row>
    <row r="144" spans="1:5" x14ac:dyDescent="0.25">
      <c r="A144" t="s">
        <v>473</v>
      </c>
      <c r="C144">
        <v>468</v>
      </c>
      <c r="D144">
        <v>468</v>
      </c>
      <c r="E144">
        <v>101</v>
      </c>
    </row>
    <row r="145" spans="1:5" x14ac:dyDescent="0.25">
      <c r="A145" t="s">
        <v>474</v>
      </c>
      <c r="C145">
        <v>309</v>
      </c>
      <c r="D145">
        <v>309</v>
      </c>
      <c r="E145">
        <v>46</v>
      </c>
    </row>
    <row r="146" spans="1:5" x14ac:dyDescent="0.25">
      <c r="A146" t="s">
        <v>475</v>
      </c>
      <c r="C146">
        <v>2191</v>
      </c>
      <c r="D146">
        <v>2191</v>
      </c>
      <c r="E146">
        <v>540</v>
      </c>
    </row>
    <row r="147" spans="1:5" x14ac:dyDescent="0.25">
      <c r="A147" t="s">
        <v>476</v>
      </c>
      <c r="C147">
        <v>941</v>
      </c>
      <c r="D147">
        <v>941</v>
      </c>
      <c r="E147">
        <v>199</v>
      </c>
    </row>
    <row r="148" spans="1:5" x14ac:dyDescent="0.25">
      <c r="A148" t="s">
        <v>477</v>
      </c>
      <c r="C148">
        <v>418</v>
      </c>
      <c r="D148">
        <v>418</v>
      </c>
      <c r="E148">
        <v>80</v>
      </c>
    </row>
    <row r="150" spans="1:5" x14ac:dyDescent="0.25">
      <c r="A150" t="s">
        <v>478</v>
      </c>
      <c r="C150">
        <v>13311</v>
      </c>
      <c r="D150">
        <v>13311</v>
      </c>
      <c r="E150">
        <v>2800</v>
      </c>
    </row>
    <row r="151" spans="1:5" x14ac:dyDescent="0.25">
      <c r="A151" t="s">
        <v>479</v>
      </c>
      <c r="C151">
        <v>547</v>
      </c>
      <c r="D151">
        <v>547</v>
      </c>
      <c r="E151">
        <v>94</v>
      </c>
    </row>
    <row r="152" spans="1:5" x14ac:dyDescent="0.25">
      <c r="A152" t="s">
        <v>480</v>
      </c>
      <c r="C152">
        <v>668</v>
      </c>
      <c r="D152">
        <v>668</v>
      </c>
      <c r="E152">
        <v>138</v>
      </c>
    </row>
    <row r="153" spans="1:5" x14ac:dyDescent="0.25">
      <c r="A153" t="s">
        <v>481</v>
      </c>
      <c r="C153">
        <v>966</v>
      </c>
      <c r="D153">
        <v>966</v>
      </c>
      <c r="E153">
        <v>224</v>
      </c>
    </row>
    <row r="154" spans="1:5" x14ac:dyDescent="0.25">
      <c r="A154" t="s">
        <v>482</v>
      </c>
      <c r="C154">
        <v>499</v>
      </c>
      <c r="D154">
        <v>499</v>
      </c>
      <c r="E154">
        <v>104</v>
      </c>
    </row>
    <row r="155" spans="1:5" x14ac:dyDescent="0.25">
      <c r="A155" t="s">
        <v>483</v>
      </c>
      <c r="C155">
        <v>645</v>
      </c>
      <c r="D155">
        <v>645</v>
      </c>
      <c r="E155">
        <v>137</v>
      </c>
    </row>
    <row r="156" spans="1:5" x14ac:dyDescent="0.25">
      <c r="A156" t="s">
        <v>484</v>
      </c>
      <c r="C156">
        <v>1277</v>
      </c>
      <c r="D156">
        <v>1277</v>
      </c>
      <c r="E156">
        <v>263</v>
      </c>
    </row>
    <row r="157" spans="1:5" x14ac:dyDescent="0.25">
      <c r="A157" t="s">
        <v>485</v>
      </c>
      <c r="C157">
        <v>898</v>
      </c>
      <c r="D157">
        <v>898</v>
      </c>
      <c r="E157">
        <v>200</v>
      </c>
    </row>
    <row r="158" spans="1:5" x14ac:dyDescent="0.25">
      <c r="A158" t="s">
        <v>486</v>
      </c>
      <c r="C158">
        <v>636</v>
      </c>
      <c r="D158">
        <v>636</v>
      </c>
      <c r="E158">
        <v>115</v>
      </c>
    </row>
    <row r="159" spans="1:5" x14ac:dyDescent="0.25">
      <c r="A159" t="s">
        <v>487</v>
      </c>
      <c r="C159">
        <v>581</v>
      </c>
      <c r="D159">
        <v>581</v>
      </c>
      <c r="E159">
        <v>107</v>
      </c>
    </row>
    <row r="160" spans="1:5" x14ac:dyDescent="0.25">
      <c r="A160" t="s">
        <v>488</v>
      </c>
      <c r="C160">
        <v>584</v>
      </c>
      <c r="D160">
        <v>584</v>
      </c>
      <c r="E160">
        <v>119</v>
      </c>
    </row>
    <row r="161" spans="1:5" x14ac:dyDescent="0.25">
      <c r="A161" t="s">
        <v>489</v>
      </c>
      <c r="C161">
        <v>805</v>
      </c>
      <c r="D161">
        <v>805</v>
      </c>
      <c r="E161">
        <v>185</v>
      </c>
    </row>
    <row r="162" spans="1:5" x14ac:dyDescent="0.25">
      <c r="A162" t="s">
        <v>353</v>
      </c>
      <c r="C162">
        <v>980</v>
      </c>
      <c r="D162">
        <v>980</v>
      </c>
      <c r="E162">
        <v>195</v>
      </c>
    </row>
    <row r="163" spans="1:5" x14ac:dyDescent="0.25">
      <c r="A163" t="s">
        <v>490</v>
      </c>
      <c r="C163">
        <v>533</v>
      </c>
      <c r="D163">
        <v>533</v>
      </c>
      <c r="E163">
        <v>131</v>
      </c>
    </row>
    <row r="164" spans="1:5" x14ac:dyDescent="0.25">
      <c r="A164" t="s">
        <v>491</v>
      </c>
      <c r="C164">
        <v>458</v>
      </c>
      <c r="D164">
        <v>458</v>
      </c>
      <c r="E164">
        <v>98</v>
      </c>
    </row>
    <row r="165" spans="1:5" x14ac:dyDescent="0.25">
      <c r="A165" t="s">
        <v>492</v>
      </c>
      <c r="C165">
        <v>572</v>
      </c>
      <c r="D165">
        <v>572</v>
      </c>
      <c r="E165">
        <v>122</v>
      </c>
    </row>
    <row r="166" spans="1:5" x14ac:dyDescent="0.25">
      <c r="A166" t="s">
        <v>493</v>
      </c>
      <c r="C166">
        <v>473</v>
      </c>
      <c r="D166">
        <v>473</v>
      </c>
      <c r="E166">
        <v>92</v>
      </c>
    </row>
    <row r="167" spans="1:5" x14ac:dyDescent="0.25">
      <c r="A167" t="s">
        <v>494</v>
      </c>
      <c r="C167">
        <v>580</v>
      </c>
      <c r="D167">
        <v>580</v>
      </c>
      <c r="E167">
        <v>140</v>
      </c>
    </row>
    <row r="168" spans="1:5" x14ac:dyDescent="0.25">
      <c r="A168" t="s">
        <v>495</v>
      </c>
      <c r="C168">
        <v>326</v>
      </c>
      <c r="D168">
        <v>326</v>
      </c>
      <c r="E168">
        <v>56</v>
      </c>
    </row>
    <row r="169" spans="1:5" x14ac:dyDescent="0.25">
      <c r="A169" t="s">
        <v>496</v>
      </c>
      <c r="C169">
        <v>287</v>
      </c>
      <c r="D169">
        <v>287</v>
      </c>
      <c r="E169">
        <v>61</v>
      </c>
    </row>
    <row r="170" spans="1:5" x14ac:dyDescent="0.25">
      <c r="A170" t="s">
        <v>497</v>
      </c>
      <c r="C170">
        <v>996</v>
      </c>
      <c r="D170">
        <v>996</v>
      </c>
      <c r="E170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2010</vt:lpstr>
      <vt:lpstr>2015</vt:lpstr>
      <vt:lpstr>2020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kalinga1</dc:creator>
  <cp:lastModifiedBy>kalinga1</cp:lastModifiedBy>
  <dcterms:created xsi:type="dcterms:W3CDTF">2026-08-13T07:01:08Z</dcterms:created>
  <dcterms:modified xsi:type="dcterms:W3CDTF">2026-08-17T09:00:41Z</dcterms:modified>
</cp:coreProperties>
</file>